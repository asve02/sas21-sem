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as21-sem\data\"/>
    </mc:Choice>
  </mc:AlternateContent>
  <xr:revisionPtr revIDLastSave="0" documentId="13_ncr:1_{A6D0E0FC-0A31-44D5-B134-3E80A55AB2B1}" xr6:coauthVersionLast="47" xr6:coauthVersionMax="47" xr10:uidLastSave="{00000000-0000-0000-0000-000000000000}"/>
  <bookViews>
    <workbookView xWindow="-49890" yWindow="-1890" windowWidth="38700" windowHeight="15225" tabRatio="753" activeTab="5" xr2:uid="{00000000-000D-0000-FFFF-FFFF00000000}"/>
  </bookViews>
  <sheets>
    <sheet name="cellcounts" sheetId="1" r:id="rId1"/>
    <sheet name="oceanbasin_depth_percentage" sheetId="2" r:id="rId2"/>
    <sheet name="features" sheetId="9" r:id="rId3"/>
    <sheet name="edx_cell_mol_ratio" sheetId="13" r:id="rId4"/>
    <sheet name="cell_VL" sheetId="24" r:id="rId5"/>
    <sheet name="edx_cell" sheetId="31" r:id="rId6"/>
  </sheets>
  <definedNames>
    <definedName name="_xlnm._FilterDatabase" localSheetId="4" hidden="1">cell_VL!$A$1:$G$477</definedName>
    <definedName name="_xlnm._FilterDatabase" localSheetId="2" hidden="1">features!$A$1:$F$121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4" l="1"/>
  <c r="F2" i="24"/>
  <c r="E2" i="24"/>
  <c r="O2" i="31"/>
  <c r="N313" i="31"/>
  <c r="L313" i="31"/>
  <c r="O313" i="31" s="1"/>
  <c r="Q313" i="31" s="1"/>
  <c r="N312" i="31"/>
  <c r="L312" i="31"/>
  <c r="O312" i="31" s="1"/>
  <c r="Q312" i="31" s="1"/>
  <c r="N311" i="31"/>
  <c r="L311" i="31"/>
  <c r="O311" i="31" s="1"/>
  <c r="Q311" i="31" s="1"/>
  <c r="N310" i="31"/>
  <c r="L310" i="31"/>
  <c r="O310" i="31" s="1"/>
  <c r="Q310" i="31" s="1"/>
  <c r="N309" i="31"/>
  <c r="L309" i="31"/>
  <c r="O309" i="31" s="1"/>
  <c r="Q309" i="31" s="1"/>
  <c r="O308" i="31"/>
  <c r="Q308" i="31" s="1"/>
  <c r="N308" i="31"/>
  <c r="L308" i="31"/>
  <c r="N307" i="31"/>
  <c r="O307" i="31" s="1"/>
  <c r="Q307" i="31" s="1"/>
  <c r="L307" i="31"/>
  <c r="N306" i="31"/>
  <c r="L306" i="31"/>
  <c r="O306" i="31" s="1"/>
  <c r="Q306" i="31" s="1"/>
  <c r="Q305" i="31"/>
  <c r="O305" i="31"/>
  <c r="N305" i="31"/>
  <c r="L305" i="31"/>
  <c r="N304" i="31"/>
  <c r="L304" i="31"/>
  <c r="O304" i="31" s="1"/>
  <c r="Q304" i="31" s="1"/>
  <c r="N303" i="31"/>
  <c r="L303" i="31"/>
  <c r="O303" i="31" s="1"/>
  <c r="Q303" i="31" s="1"/>
  <c r="N302" i="31"/>
  <c r="L302" i="31"/>
  <c r="O302" i="31" s="1"/>
  <c r="Q302" i="31" s="1"/>
  <c r="N301" i="31"/>
  <c r="L301" i="31"/>
  <c r="O301" i="31" s="1"/>
  <c r="Q301" i="31" s="1"/>
  <c r="N300" i="31"/>
  <c r="L300" i="31"/>
  <c r="O300" i="31" s="1"/>
  <c r="Q300" i="31" s="1"/>
  <c r="N299" i="31"/>
  <c r="L299" i="31"/>
  <c r="O299" i="31" s="1"/>
  <c r="Q299" i="31" s="1"/>
  <c r="N298" i="31"/>
  <c r="L298" i="31"/>
  <c r="O298" i="31" s="1"/>
  <c r="Q298" i="31" s="1"/>
  <c r="Q297" i="31"/>
  <c r="O297" i="31"/>
  <c r="N297" i="31"/>
  <c r="L297" i="31"/>
  <c r="N296" i="31"/>
  <c r="L296" i="31"/>
  <c r="O296" i="31" s="1"/>
  <c r="Q296" i="31" s="1"/>
  <c r="N295" i="31"/>
  <c r="O295" i="31" s="1"/>
  <c r="Q295" i="31" s="1"/>
  <c r="L295" i="31"/>
  <c r="N294" i="31"/>
  <c r="L294" i="31"/>
  <c r="O294" i="31" s="1"/>
  <c r="Q294" i="31" s="1"/>
  <c r="N293" i="31"/>
  <c r="O293" i="31" s="1"/>
  <c r="Q293" i="31" s="1"/>
  <c r="L293" i="31"/>
  <c r="N292" i="31"/>
  <c r="L292" i="31"/>
  <c r="O292" i="31" s="1"/>
  <c r="Q292" i="31" s="1"/>
  <c r="N291" i="31"/>
  <c r="L291" i="31"/>
  <c r="O291" i="31" s="1"/>
  <c r="Q291" i="31" s="1"/>
  <c r="Q290" i="31"/>
  <c r="O290" i="31"/>
  <c r="N290" i="31"/>
  <c r="L290" i="31"/>
  <c r="N289" i="31"/>
  <c r="L289" i="31"/>
  <c r="O289" i="31" s="1"/>
  <c r="Q289" i="31" s="1"/>
  <c r="N288" i="31"/>
  <c r="L288" i="31"/>
  <c r="O288" i="31" s="1"/>
  <c r="Q288" i="31" s="1"/>
  <c r="N287" i="31"/>
  <c r="L287" i="31"/>
  <c r="O287" i="31" s="1"/>
  <c r="Q287" i="31" s="1"/>
  <c r="O286" i="31"/>
  <c r="Q286" i="31" s="1"/>
  <c r="N286" i="31"/>
  <c r="L286" i="31"/>
  <c r="N285" i="31"/>
  <c r="O285" i="31" s="1"/>
  <c r="Q285" i="31" s="1"/>
  <c r="L285" i="31"/>
  <c r="N284" i="31"/>
  <c r="L284" i="31"/>
  <c r="O284" i="31" s="1"/>
  <c r="Q284" i="31" s="1"/>
  <c r="N283" i="31"/>
  <c r="O283" i="31" s="1"/>
  <c r="Q283" i="31" s="1"/>
  <c r="L283" i="31"/>
  <c r="N282" i="31"/>
  <c r="L282" i="31"/>
  <c r="O282" i="31" s="1"/>
  <c r="Q282" i="31" s="1"/>
  <c r="O281" i="31"/>
  <c r="Q281" i="31" s="1"/>
  <c r="N281" i="31"/>
  <c r="L281" i="31"/>
  <c r="N280" i="31"/>
  <c r="L280" i="31"/>
  <c r="O280" i="31" s="1"/>
  <c r="Q280" i="31" s="1"/>
  <c r="N279" i="31"/>
  <c r="L279" i="31"/>
  <c r="O279" i="31" s="1"/>
  <c r="Q279" i="31" s="1"/>
  <c r="O278" i="31"/>
  <c r="Q278" i="31" s="1"/>
  <c r="N278" i="31"/>
  <c r="L278" i="31"/>
  <c r="O277" i="31"/>
  <c r="Q277" i="31" s="1"/>
  <c r="N277" i="31"/>
  <c r="L277" i="31"/>
  <c r="N276" i="31"/>
  <c r="L276" i="31"/>
  <c r="O276" i="31" s="1"/>
  <c r="Q276" i="31" s="1"/>
  <c r="O275" i="31"/>
  <c r="Q275" i="31" s="1"/>
  <c r="N275" i="31"/>
  <c r="L275" i="31"/>
  <c r="N274" i="31"/>
  <c r="L274" i="31"/>
  <c r="O274" i="31" s="1"/>
  <c r="Q274" i="31" s="1"/>
  <c r="N273" i="31"/>
  <c r="L273" i="31"/>
  <c r="O273" i="31" s="1"/>
  <c r="Q273" i="31" s="1"/>
  <c r="N272" i="31"/>
  <c r="L272" i="31"/>
  <c r="O272" i="31" s="1"/>
  <c r="Q272" i="31" s="1"/>
  <c r="N271" i="31"/>
  <c r="O271" i="31" s="1"/>
  <c r="Q271" i="31" s="1"/>
  <c r="L271" i="31"/>
  <c r="N270" i="31"/>
  <c r="L270" i="31"/>
  <c r="O270" i="31" s="1"/>
  <c r="Q270" i="31" s="1"/>
  <c r="N269" i="31"/>
  <c r="L269" i="31"/>
  <c r="O269" i="31" s="1"/>
  <c r="Q269" i="31" s="1"/>
  <c r="O268" i="31"/>
  <c r="Q268" i="31" s="1"/>
  <c r="N268" i="31"/>
  <c r="L268" i="31"/>
  <c r="N267" i="31"/>
  <c r="L267" i="31"/>
  <c r="O267" i="31" s="1"/>
  <c r="Q267" i="31" s="1"/>
  <c r="N266" i="31"/>
  <c r="L266" i="31"/>
  <c r="O266" i="31" s="1"/>
  <c r="Q266" i="31" s="1"/>
  <c r="N265" i="31"/>
  <c r="L265" i="31"/>
  <c r="O265" i="31" s="1"/>
  <c r="Q265" i="31" s="1"/>
  <c r="Q264" i="31"/>
  <c r="O264" i="31"/>
  <c r="N264" i="31"/>
  <c r="L264" i="31"/>
  <c r="O263" i="31"/>
  <c r="Q263" i="31" s="1"/>
  <c r="N263" i="31"/>
  <c r="L263" i="31"/>
  <c r="Q262" i="31"/>
  <c r="N262" i="31"/>
  <c r="L262" i="31"/>
  <c r="O262" i="31" s="1"/>
  <c r="N261" i="31"/>
  <c r="L261" i="31"/>
  <c r="O261" i="31" s="1"/>
  <c r="Q261" i="31" s="1"/>
  <c r="O260" i="31"/>
  <c r="Q260" i="31" s="1"/>
  <c r="N260" i="31"/>
  <c r="L260" i="31"/>
  <c r="N259" i="31"/>
  <c r="L259" i="31"/>
  <c r="O259" i="31" s="1"/>
  <c r="Q259" i="31" s="1"/>
  <c r="N258" i="31"/>
  <c r="L258" i="31"/>
  <c r="O258" i="31" s="1"/>
  <c r="Q258" i="31" s="1"/>
  <c r="N257" i="31"/>
  <c r="L257" i="31"/>
  <c r="O257" i="31" s="1"/>
  <c r="Q257" i="31" s="1"/>
  <c r="O256" i="31"/>
  <c r="Q256" i="31" s="1"/>
  <c r="N256" i="31"/>
  <c r="L256" i="31"/>
  <c r="N255" i="31"/>
  <c r="L255" i="31"/>
  <c r="O255" i="31" s="1"/>
  <c r="Q255" i="31" s="1"/>
  <c r="N254" i="31"/>
  <c r="L254" i="31"/>
  <c r="O254" i="31" s="1"/>
  <c r="Q254" i="31" s="1"/>
  <c r="O253" i="31"/>
  <c r="Q253" i="31" s="1"/>
  <c r="N253" i="31"/>
  <c r="L253" i="31"/>
  <c r="N252" i="31"/>
  <c r="L252" i="31"/>
  <c r="O252" i="31" s="1"/>
  <c r="Q252" i="31" s="1"/>
  <c r="N251" i="31"/>
  <c r="L251" i="31"/>
  <c r="O251" i="31" s="1"/>
  <c r="Q251" i="31" s="1"/>
  <c r="N250" i="31"/>
  <c r="L250" i="31"/>
  <c r="O250" i="31" s="1"/>
  <c r="Q250" i="31" s="1"/>
  <c r="N249" i="31"/>
  <c r="L249" i="31"/>
  <c r="O249" i="31" s="1"/>
  <c r="Q249" i="31" s="1"/>
  <c r="N248" i="31"/>
  <c r="L248" i="31"/>
  <c r="O248" i="31" s="1"/>
  <c r="Q248" i="31" s="1"/>
  <c r="N247" i="31"/>
  <c r="L247" i="31"/>
  <c r="O247" i="31" s="1"/>
  <c r="Q247" i="31" s="1"/>
  <c r="O246" i="31"/>
  <c r="Q246" i="31" s="1"/>
  <c r="N246" i="31"/>
  <c r="L246" i="31"/>
  <c r="N245" i="31"/>
  <c r="L245" i="31"/>
  <c r="O244" i="31"/>
  <c r="Q244" i="31" s="1"/>
  <c r="N244" i="31"/>
  <c r="L244" i="31"/>
  <c r="N243" i="31"/>
  <c r="L243" i="31"/>
  <c r="O243" i="31" s="1"/>
  <c r="Q243" i="31" s="1"/>
  <c r="O242" i="31"/>
  <c r="Q242" i="31" s="1"/>
  <c r="N242" i="31"/>
  <c r="L242" i="31"/>
  <c r="O241" i="31"/>
  <c r="Q241" i="31" s="1"/>
  <c r="N241" i="31"/>
  <c r="L241" i="31"/>
  <c r="Q240" i="31"/>
  <c r="N240" i="31"/>
  <c r="L240" i="31"/>
  <c r="O240" i="31" s="1"/>
  <c r="N239" i="31"/>
  <c r="L239" i="31"/>
  <c r="O239" i="31" s="1"/>
  <c r="Q239" i="31" s="1"/>
  <c r="Q238" i="31"/>
  <c r="N238" i="31"/>
  <c r="L238" i="31"/>
  <c r="O238" i="31" s="1"/>
  <c r="N237" i="31"/>
  <c r="L237" i="31"/>
  <c r="O237" i="31" s="1"/>
  <c r="Q237" i="31" s="1"/>
  <c r="N236" i="31"/>
  <c r="L236" i="31"/>
  <c r="O236" i="31" s="1"/>
  <c r="Q236" i="31" s="1"/>
  <c r="N235" i="31"/>
  <c r="O235" i="31" s="1"/>
  <c r="Q235" i="31" s="1"/>
  <c r="L235" i="31"/>
  <c r="O234" i="31"/>
  <c r="Q234" i="31" s="1"/>
  <c r="N234" i="31"/>
  <c r="L234" i="31"/>
  <c r="N233" i="31"/>
  <c r="L233" i="31"/>
  <c r="O233" i="31" s="1"/>
  <c r="Q233" i="31" s="1"/>
  <c r="O232" i="31"/>
  <c r="Q232" i="31" s="1"/>
  <c r="N232" i="31"/>
  <c r="L232" i="31"/>
  <c r="O231" i="31"/>
  <c r="Q231" i="31" s="1"/>
  <c r="N231" i="31"/>
  <c r="L231" i="31"/>
  <c r="N230" i="31"/>
  <c r="L230" i="31"/>
  <c r="O230" i="31" s="1"/>
  <c r="Q230" i="31" s="1"/>
  <c r="N229" i="31"/>
  <c r="L229" i="31"/>
  <c r="O229" i="31" s="1"/>
  <c r="Q229" i="31" s="1"/>
  <c r="Q228" i="31"/>
  <c r="N228" i="31"/>
  <c r="L228" i="31"/>
  <c r="O228" i="31" s="1"/>
  <c r="O227" i="31"/>
  <c r="Q227" i="31" s="1"/>
  <c r="N227" i="31"/>
  <c r="L227" i="31"/>
  <c r="O226" i="31"/>
  <c r="Q226" i="31" s="1"/>
  <c r="N226" i="31"/>
  <c r="L226" i="31"/>
  <c r="N225" i="31"/>
  <c r="L225" i="31"/>
  <c r="O225" i="31" s="1"/>
  <c r="Q225" i="31" s="1"/>
  <c r="N224" i="31"/>
  <c r="L224" i="31"/>
  <c r="O224" i="31" s="1"/>
  <c r="Q224" i="31" s="1"/>
  <c r="N223" i="31"/>
  <c r="L223" i="31"/>
  <c r="O223" i="31" s="1"/>
  <c r="Q223" i="31" s="1"/>
  <c r="O222" i="31"/>
  <c r="Q222" i="31" s="1"/>
  <c r="N222" i="31"/>
  <c r="L222" i="31"/>
  <c r="N221" i="31"/>
  <c r="L221" i="31"/>
  <c r="O221" i="31" s="1"/>
  <c r="Q221" i="31" s="1"/>
  <c r="O220" i="31"/>
  <c r="Q220" i="31" s="1"/>
  <c r="N220" i="31"/>
  <c r="L220" i="31"/>
  <c r="N219" i="31"/>
  <c r="L219" i="31"/>
  <c r="O219" i="31" s="1"/>
  <c r="Q219" i="31" s="1"/>
  <c r="N218" i="31"/>
  <c r="L218" i="31"/>
  <c r="O218" i="31" s="1"/>
  <c r="Q218" i="31" s="1"/>
  <c r="O217" i="31"/>
  <c r="Q217" i="31" s="1"/>
  <c r="N217" i="31"/>
  <c r="L217" i="31"/>
  <c r="N216" i="31"/>
  <c r="L216" i="31"/>
  <c r="O216" i="31" s="1"/>
  <c r="Q216" i="31" s="1"/>
  <c r="N215" i="31"/>
  <c r="L215" i="31"/>
  <c r="O215" i="31" s="1"/>
  <c r="Q215" i="31" s="1"/>
  <c r="N214" i="31"/>
  <c r="L214" i="31"/>
  <c r="O214" i="31" s="1"/>
  <c r="Q214" i="31" s="1"/>
  <c r="N213" i="31"/>
  <c r="L213" i="31"/>
  <c r="O213" i="31" s="1"/>
  <c r="Q213" i="31" s="1"/>
  <c r="N212" i="31"/>
  <c r="L212" i="31"/>
  <c r="O212" i="31" s="1"/>
  <c r="Q212" i="31" s="1"/>
  <c r="N211" i="31"/>
  <c r="L211" i="31"/>
  <c r="O211" i="31" s="1"/>
  <c r="Q211" i="31" s="1"/>
  <c r="O210" i="31"/>
  <c r="Q210" i="31" s="1"/>
  <c r="N210" i="31"/>
  <c r="L210" i="31"/>
  <c r="O209" i="31"/>
  <c r="Q209" i="31" s="1"/>
  <c r="N209" i="31"/>
  <c r="L209" i="31"/>
  <c r="N208" i="31"/>
  <c r="O208" i="31" s="1"/>
  <c r="Q208" i="31" s="1"/>
  <c r="L208" i="31"/>
  <c r="N207" i="31"/>
  <c r="L207" i="31"/>
  <c r="O207" i="31" s="1"/>
  <c r="Q207" i="31" s="1"/>
  <c r="N206" i="31"/>
  <c r="O206" i="31" s="1"/>
  <c r="Q206" i="31" s="1"/>
  <c r="L206" i="31"/>
  <c r="O205" i="31"/>
  <c r="Q205" i="31" s="1"/>
  <c r="N205" i="31"/>
  <c r="L205" i="31"/>
  <c r="O204" i="31"/>
  <c r="Q204" i="31" s="1"/>
  <c r="N204" i="31"/>
  <c r="L204" i="31"/>
  <c r="N203" i="31"/>
  <c r="L203" i="31"/>
  <c r="O203" i="31" s="1"/>
  <c r="Q203" i="31" s="1"/>
  <c r="N202" i="31"/>
  <c r="L202" i="31"/>
  <c r="O202" i="31" s="1"/>
  <c r="Q202" i="31" s="1"/>
  <c r="N201" i="31"/>
  <c r="L201" i="31"/>
  <c r="O201" i="31" s="1"/>
  <c r="Q201" i="31" s="1"/>
  <c r="N200" i="31"/>
  <c r="L200" i="31"/>
  <c r="O200" i="31" s="1"/>
  <c r="Q200" i="31" s="1"/>
  <c r="O199" i="31"/>
  <c r="Q199" i="31" s="1"/>
  <c r="N199" i="31"/>
  <c r="L199" i="31"/>
  <c r="Q198" i="31"/>
  <c r="O198" i="31"/>
  <c r="N198" i="31"/>
  <c r="L198" i="31"/>
  <c r="N197" i="31"/>
  <c r="L197" i="31"/>
  <c r="O197" i="31" s="1"/>
  <c r="Q197" i="31" s="1"/>
  <c r="O196" i="31"/>
  <c r="Q196" i="31" s="1"/>
  <c r="N196" i="31"/>
  <c r="L196" i="31"/>
  <c r="N195" i="31"/>
  <c r="L195" i="31"/>
  <c r="O195" i="31" s="1"/>
  <c r="Q195" i="31" s="1"/>
  <c r="N194" i="31"/>
  <c r="L194" i="31"/>
  <c r="O194" i="31" s="1"/>
  <c r="Q194" i="31" s="1"/>
  <c r="N193" i="31"/>
  <c r="L193" i="31"/>
  <c r="O193" i="31" s="1"/>
  <c r="Q193" i="31" s="1"/>
  <c r="N192" i="31"/>
  <c r="L192" i="31"/>
  <c r="O192" i="31" s="1"/>
  <c r="Q192" i="31" s="1"/>
  <c r="N191" i="31"/>
  <c r="L191" i="31"/>
  <c r="O191" i="31" s="1"/>
  <c r="Q191" i="31" s="1"/>
  <c r="N190" i="31"/>
  <c r="L190" i="31"/>
  <c r="O190" i="31" s="1"/>
  <c r="Q190" i="31" s="1"/>
  <c r="N189" i="31"/>
  <c r="L189" i="31"/>
  <c r="O189" i="31" s="1"/>
  <c r="Q189" i="31" s="1"/>
  <c r="N188" i="31"/>
  <c r="L188" i="31"/>
  <c r="O188" i="31" s="1"/>
  <c r="Q188" i="31" s="1"/>
  <c r="O187" i="31"/>
  <c r="Q187" i="31" s="1"/>
  <c r="N187" i="31"/>
  <c r="L187" i="31"/>
  <c r="O186" i="31"/>
  <c r="Q186" i="31" s="1"/>
  <c r="N186" i="31"/>
  <c r="L186" i="31"/>
  <c r="N185" i="31"/>
  <c r="L185" i="31"/>
  <c r="O185" i="31" s="1"/>
  <c r="Q185" i="31" s="1"/>
  <c r="N184" i="31"/>
  <c r="O184" i="31" s="1"/>
  <c r="Q184" i="31" s="1"/>
  <c r="L184" i="31"/>
  <c r="N183" i="31"/>
  <c r="L183" i="31"/>
  <c r="O183" i="31" s="1"/>
  <c r="Q183" i="31" s="1"/>
  <c r="N182" i="31"/>
  <c r="L182" i="31"/>
  <c r="O182" i="31" s="1"/>
  <c r="Q182" i="31" s="1"/>
  <c r="N181" i="31"/>
  <c r="L181" i="31"/>
  <c r="O181" i="31" s="1"/>
  <c r="Q181" i="31" s="1"/>
  <c r="N180" i="31"/>
  <c r="L180" i="31"/>
  <c r="O180" i="31" s="1"/>
  <c r="Q180" i="31" s="1"/>
  <c r="N179" i="31"/>
  <c r="L179" i="31"/>
  <c r="O179" i="31" s="1"/>
  <c r="Q179" i="31" s="1"/>
  <c r="N178" i="31"/>
  <c r="L178" i="31"/>
  <c r="O178" i="31" s="1"/>
  <c r="Q178" i="31" s="1"/>
  <c r="N177" i="31"/>
  <c r="L177" i="31"/>
  <c r="O177" i="31" s="1"/>
  <c r="Q177" i="31" s="1"/>
  <c r="O176" i="31"/>
  <c r="Q176" i="31" s="1"/>
  <c r="N176" i="31"/>
  <c r="L176" i="31"/>
  <c r="N175" i="31"/>
  <c r="L175" i="31"/>
  <c r="O175" i="31" s="1"/>
  <c r="Q175" i="31" s="1"/>
  <c r="O174" i="31"/>
  <c r="Q174" i="31" s="1"/>
  <c r="N174" i="31"/>
  <c r="L174" i="31"/>
  <c r="N173" i="31"/>
  <c r="L173" i="31"/>
  <c r="O173" i="31" s="1"/>
  <c r="Q173" i="31" s="1"/>
  <c r="N172" i="31"/>
  <c r="O172" i="31" s="1"/>
  <c r="Q172" i="31" s="1"/>
  <c r="L172" i="31"/>
  <c r="N171" i="31"/>
  <c r="L171" i="31"/>
  <c r="O171" i="31" s="1"/>
  <c r="Q171" i="31" s="1"/>
  <c r="N170" i="31"/>
  <c r="L170" i="31"/>
  <c r="O170" i="31" s="1"/>
  <c r="Q170" i="31" s="1"/>
  <c r="N169" i="31"/>
  <c r="O169" i="31" s="1"/>
  <c r="Q169" i="31" s="1"/>
  <c r="L169" i="31"/>
  <c r="N168" i="31"/>
  <c r="L168" i="31"/>
  <c r="O168" i="31" s="1"/>
  <c r="Q168" i="31" s="1"/>
  <c r="N167" i="31"/>
  <c r="L167" i="31"/>
  <c r="O167" i="31" s="1"/>
  <c r="Q167" i="31" s="1"/>
  <c r="N166" i="31"/>
  <c r="L166" i="31"/>
  <c r="O166" i="31" s="1"/>
  <c r="Q166" i="31" s="1"/>
  <c r="O165" i="31"/>
  <c r="Q165" i="31" s="1"/>
  <c r="N165" i="31"/>
  <c r="L165" i="31"/>
  <c r="N164" i="31"/>
  <c r="L164" i="31"/>
  <c r="O164" i="31" s="1"/>
  <c r="Q164" i="31" s="1"/>
  <c r="O163" i="31"/>
  <c r="Q163" i="31" s="1"/>
  <c r="N163" i="31"/>
  <c r="L163" i="31"/>
  <c r="N162" i="31"/>
  <c r="O162" i="31" s="1"/>
  <c r="Q162" i="31" s="1"/>
  <c r="L162" i="31"/>
  <c r="N161" i="31"/>
  <c r="L161" i="31"/>
  <c r="O161" i="31" s="1"/>
  <c r="Q161" i="31" s="1"/>
  <c r="N160" i="31"/>
  <c r="O160" i="31" s="1"/>
  <c r="Q160" i="31" s="1"/>
  <c r="L160" i="31"/>
  <c r="N159" i="31"/>
  <c r="L159" i="31"/>
  <c r="O159" i="31" s="1"/>
  <c r="Q159" i="31" s="1"/>
  <c r="N158" i="31"/>
  <c r="L158" i="31"/>
  <c r="O158" i="31" s="1"/>
  <c r="Q158" i="31" s="1"/>
  <c r="N157" i="31"/>
  <c r="O157" i="31" s="1"/>
  <c r="Q157" i="31" s="1"/>
  <c r="L157" i="31"/>
  <c r="N156" i="31"/>
  <c r="O156" i="31" s="1"/>
  <c r="Q156" i="31" s="1"/>
  <c r="L156" i="31"/>
  <c r="N155" i="31"/>
  <c r="L155" i="31"/>
  <c r="O155" i="31" s="1"/>
  <c r="Q155" i="31" s="1"/>
  <c r="O154" i="31"/>
  <c r="Q154" i="31" s="1"/>
  <c r="N154" i="31"/>
  <c r="L154" i="31"/>
  <c r="N153" i="31"/>
  <c r="L153" i="31"/>
  <c r="O153" i="31" s="1"/>
  <c r="Q153" i="31" s="1"/>
  <c r="O152" i="31"/>
  <c r="Q152" i="31" s="1"/>
  <c r="N152" i="31"/>
  <c r="L152" i="31"/>
  <c r="N151" i="31"/>
  <c r="L151" i="31"/>
  <c r="O151" i="31" s="1"/>
  <c r="Q151" i="31" s="1"/>
  <c r="O150" i="31"/>
  <c r="Q150" i="31" s="1"/>
  <c r="N150" i="31"/>
  <c r="L150" i="31"/>
  <c r="N149" i="31"/>
  <c r="L149" i="31"/>
  <c r="O149" i="31" s="1"/>
  <c r="Q149" i="31" s="1"/>
  <c r="N148" i="31"/>
  <c r="L148" i="31"/>
  <c r="O148" i="31" s="1"/>
  <c r="Q148" i="31" s="1"/>
  <c r="Q147" i="31"/>
  <c r="O147" i="31"/>
  <c r="N147" i="31"/>
  <c r="L147" i="31"/>
  <c r="N146" i="31"/>
  <c r="L146" i="31"/>
  <c r="O146" i="31" s="1"/>
  <c r="Q146" i="31" s="1"/>
  <c r="O145" i="31"/>
  <c r="Q145" i="31" s="1"/>
  <c r="N145" i="31"/>
  <c r="L145" i="31"/>
  <c r="N144" i="31"/>
  <c r="L144" i="31"/>
  <c r="O144" i="31" s="1"/>
  <c r="Q144" i="31" s="1"/>
  <c r="Q143" i="31"/>
  <c r="O143" i="31"/>
  <c r="N143" i="31"/>
  <c r="L143" i="31"/>
  <c r="O142" i="31"/>
  <c r="Q142" i="31" s="1"/>
  <c r="N142" i="31"/>
  <c r="L142" i="31"/>
  <c r="Q141" i="31"/>
  <c r="N141" i="31"/>
  <c r="L141" i="31"/>
  <c r="O141" i="31" s="1"/>
  <c r="N140" i="31"/>
  <c r="L140" i="31"/>
  <c r="O140" i="31" s="1"/>
  <c r="Q140" i="31" s="1"/>
  <c r="N139" i="31"/>
  <c r="O139" i="31" s="1"/>
  <c r="Q139" i="31" s="1"/>
  <c r="L139" i="31"/>
  <c r="N138" i="31"/>
  <c r="L138" i="31"/>
  <c r="O138" i="31" s="1"/>
  <c r="Q138" i="31" s="1"/>
  <c r="N137" i="31"/>
  <c r="L137" i="31"/>
  <c r="O137" i="31" s="1"/>
  <c r="Q137" i="31" s="1"/>
  <c r="N136" i="31"/>
  <c r="L136" i="31"/>
  <c r="O136" i="31" s="1"/>
  <c r="Q136" i="31" s="1"/>
  <c r="O135" i="31"/>
  <c r="Q135" i="31" s="1"/>
  <c r="N135" i="31"/>
  <c r="L135" i="31"/>
  <c r="N134" i="31"/>
  <c r="L134" i="31"/>
  <c r="O134" i="31" s="1"/>
  <c r="Q134" i="31" s="1"/>
  <c r="N133" i="31"/>
  <c r="L133" i="31"/>
  <c r="O133" i="31" s="1"/>
  <c r="Q133" i="31" s="1"/>
  <c r="O132" i="31"/>
  <c r="Q132" i="31" s="1"/>
  <c r="N132" i="31"/>
  <c r="L132" i="31"/>
  <c r="N131" i="31"/>
  <c r="L131" i="31"/>
  <c r="O131" i="31" s="1"/>
  <c r="Q131" i="31" s="1"/>
  <c r="N130" i="31"/>
  <c r="L130" i="31"/>
  <c r="O130" i="31" s="1"/>
  <c r="Q130" i="31" s="1"/>
  <c r="N129" i="31"/>
  <c r="L129" i="31"/>
  <c r="O129" i="31" s="1"/>
  <c r="Q129" i="31" s="1"/>
  <c r="N128" i="31"/>
  <c r="L128" i="31"/>
  <c r="O128" i="31" s="1"/>
  <c r="Q128" i="31" s="1"/>
  <c r="O127" i="31"/>
  <c r="Q127" i="31" s="1"/>
  <c r="N127" i="31"/>
  <c r="L127" i="31"/>
  <c r="N126" i="31"/>
  <c r="L126" i="31"/>
  <c r="O126" i="31" s="1"/>
  <c r="Q126" i="31" s="1"/>
  <c r="O125" i="31"/>
  <c r="Q125" i="31" s="1"/>
  <c r="N125" i="31"/>
  <c r="L125" i="31"/>
  <c r="N124" i="31"/>
  <c r="L124" i="31"/>
  <c r="O124" i="31" s="1"/>
  <c r="Q124" i="31" s="1"/>
  <c r="O123" i="31"/>
  <c r="Q123" i="31" s="1"/>
  <c r="N123" i="31"/>
  <c r="L123" i="31"/>
  <c r="N122" i="31"/>
  <c r="L122" i="31"/>
  <c r="O122" i="31" s="1"/>
  <c r="Q122" i="31" s="1"/>
  <c r="O121" i="31"/>
  <c r="Q121" i="31" s="1"/>
  <c r="N121" i="31"/>
  <c r="L121" i="31"/>
  <c r="N120" i="31"/>
  <c r="O120" i="31" s="1"/>
  <c r="Q120" i="31" s="1"/>
  <c r="L120" i="31"/>
  <c r="Q119" i="31"/>
  <c r="N119" i="31"/>
  <c r="L119" i="31"/>
  <c r="O119" i="31" s="1"/>
  <c r="N118" i="31"/>
  <c r="L118" i="31"/>
  <c r="O118" i="31" s="1"/>
  <c r="Q118" i="31" s="1"/>
  <c r="N117" i="31"/>
  <c r="L117" i="31"/>
  <c r="O117" i="31" s="1"/>
  <c r="Q117" i="31" s="1"/>
  <c r="N116" i="31"/>
  <c r="L116" i="31"/>
  <c r="O116" i="31" s="1"/>
  <c r="Q116" i="31" s="1"/>
  <c r="N115" i="31"/>
  <c r="L115" i="31"/>
  <c r="O115" i="31" s="1"/>
  <c r="Q115" i="31" s="1"/>
  <c r="N114" i="31"/>
  <c r="L114" i="31"/>
  <c r="O114" i="31" s="1"/>
  <c r="Q114" i="31" s="1"/>
  <c r="N113" i="31"/>
  <c r="L113" i="31"/>
  <c r="O113" i="31" s="1"/>
  <c r="Q113" i="31" s="1"/>
  <c r="N112" i="31"/>
  <c r="L112" i="31"/>
  <c r="O112" i="31" s="1"/>
  <c r="Q112" i="31" s="1"/>
  <c r="N111" i="31"/>
  <c r="L111" i="31"/>
  <c r="O111" i="31" s="1"/>
  <c r="Q111" i="31" s="1"/>
  <c r="O110" i="31"/>
  <c r="Q110" i="31" s="1"/>
  <c r="N110" i="31"/>
  <c r="L110" i="31"/>
  <c r="O109" i="31"/>
  <c r="Q109" i="31" s="1"/>
  <c r="N109" i="31"/>
  <c r="L109" i="31"/>
  <c r="N108" i="31"/>
  <c r="L108" i="31"/>
  <c r="O108" i="31" s="1"/>
  <c r="Q108" i="31" s="1"/>
  <c r="N107" i="31"/>
  <c r="L107" i="31"/>
  <c r="O107" i="31" s="1"/>
  <c r="Q107" i="31" s="1"/>
  <c r="N106" i="31"/>
  <c r="L106" i="31"/>
  <c r="O106" i="31" s="1"/>
  <c r="Q106" i="31" s="1"/>
  <c r="N105" i="31"/>
  <c r="L105" i="31"/>
  <c r="O105" i="31" s="1"/>
  <c r="Q105" i="31" s="1"/>
  <c r="N104" i="31"/>
  <c r="L104" i="31"/>
  <c r="O104" i="31" s="1"/>
  <c r="Q104" i="31" s="1"/>
  <c r="N103" i="31"/>
  <c r="L103" i="31"/>
  <c r="O103" i="31" s="1"/>
  <c r="Q103" i="31" s="1"/>
  <c r="O102" i="31"/>
  <c r="Q102" i="31" s="1"/>
  <c r="N102" i="31"/>
  <c r="L102" i="31"/>
  <c r="N101" i="31"/>
  <c r="L101" i="31"/>
  <c r="O101" i="31" s="1"/>
  <c r="Q101" i="31" s="1"/>
  <c r="N100" i="31"/>
  <c r="O100" i="31" s="1"/>
  <c r="Q100" i="31" s="1"/>
  <c r="L100" i="31"/>
  <c r="O99" i="31"/>
  <c r="Q99" i="31" s="1"/>
  <c r="N99" i="31"/>
  <c r="L99" i="31"/>
  <c r="O98" i="31"/>
  <c r="Q98" i="31" s="1"/>
  <c r="N98" i="31"/>
  <c r="L98" i="31"/>
  <c r="N97" i="31"/>
  <c r="L97" i="31"/>
  <c r="O97" i="31" s="1"/>
  <c r="Q97" i="31" s="1"/>
  <c r="N96" i="31"/>
  <c r="O96" i="31" s="1"/>
  <c r="Q96" i="31" s="1"/>
  <c r="L96" i="31"/>
  <c r="N95" i="31"/>
  <c r="L95" i="31"/>
  <c r="O95" i="31" s="1"/>
  <c r="Q95" i="31" s="1"/>
  <c r="N94" i="31"/>
  <c r="O94" i="31" s="1"/>
  <c r="Q94" i="31" s="1"/>
  <c r="L94" i="31"/>
  <c r="N93" i="31"/>
  <c r="L93" i="31"/>
  <c r="O93" i="31" s="1"/>
  <c r="Q93" i="31" s="1"/>
  <c r="N92" i="31"/>
  <c r="L92" i="31"/>
  <c r="O92" i="31" s="1"/>
  <c r="Q92" i="31" s="1"/>
  <c r="Q91" i="31"/>
  <c r="N91" i="31"/>
  <c r="L91" i="31"/>
  <c r="O91" i="31" s="1"/>
  <c r="N90" i="31"/>
  <c r="O90" i="31" s="1"/>
  <c r="Q90" i="31" s="1"/>
  <c r="L90" i="31"/>
  <c r="N89" i="31"/>
  <c r="L89" i="31"/>
  <c r="O89" i="31" s="1"/>
  <c r="Q89" i="31" s="1"/>
  <c r="Q88" i="31"/>
  <c r="O88" i="31"/>
  <c r="N88" i="31"/>
  <c r="L88" i="31"/>
  <c r="N87" i="31"/>
  <c r="L87" i="31"/>
  <c r="O87" i="31" s="1"/>
  <c r="Q87" i="31" s="1"/>
  <c r="N86" i="31"/>
  <c r="L86" i="31"/>
  <c r="O86" i="31" s="1"/>
  <c r="Q86" i="31" s="1"/>
  <c r="N85" i="31"/>
  <c r="O85" i="31" s="1"/>
  <c r="Q85" i="31" s="1"/>
  <c r="L85" i="31"/>
  <c r="O84" i="31"/>
  <c r="Q84" i="31" s="1"/>
  <c r="N84" i="31"/>
  <c r="L84" i="31"/>
  <c r="N83" i="31"/>
  <c r="L83" i="31"/>
  <c r="O83" i="31" s="1"/>
  <c r="Q83" i="31" s="1"/>
  <c r="N82" i="31"/>
  <c r="L82" i="31"/>
  <c r="O82" i="31" s="1"/>
  <c r="Q82" i="31" s="1"/>
  <c r="N81" i="31"/>
  <c r="L81" i="31"/>
  <c r="O81" i="31" s="1"/>
  <c r="Q81" i="31" s="1"/>
  <c r="N80" i="31"/>
  <c r="L80" i="31"/>
  <c r="O80" i="31" s="1"/>
  <c r="Q80" i="31" s="1"/>
  <c r="N79" i="31"/>
  <c r="L79" i="31"/>
  <c r="O79" i="31" s="1"/>
  <c r="Q79" i="31" s="1"/>
  <c r="O78" i="31"/>
  <c r="Q78" i="31" s="1"/>
  <c r="N78" i="31"/>
  <c r="L78" i="31"/>
  <c r="O77" i="31"/>
  <c r="Q77" i="31" s="1"/>
  <c r="N77" i="31"/>
  <c r="L77" i="31"/>
  <c r="N76" i="31"/>
  <c r="O76" i="31" s="1"/>
  <c r="Q76" i="31" s="1"/>
  <c r="L76" i="31"/>
  <c r="N75" i="31"/>
  <c r="L75" i="31"/>
  <c r="O75" i="31" s="1"/>
  <c r="Q75" i="31" s="1"/>
  <c r="N74" i="31"/>
  <c r="L74" i="31"/>
  <c r="O74" i="31" s="1"/>
  <c r="Q74" i="31" s="1"/>
  <c r="N73" i="31"/>
  <c r="O73" i="31" s="1"/>
  <c r="Q73" i="31" s="1"/>
  <c r="L73" i="31"/>
  <c r="N72" i="31"/>
  <c r="L72" i="31"/>
  <c r="O72" i="31" s="1"/>
  <c r="Q72" i="31" s="1"/>
  <c r="N71" i="31"/>
  <c r="L71" i="31"/>
  <c r="O71" i="31" s="1"/>
  <c r="Q71" i="31" s="1"/>
  <c r="N70" i="31"/>
  <c r="O70" i="31" s="1"/>
  <c r="Q70" i="31" s="1"/>
  <c r="L70" i="31"/>
  <c r="N69" i="31"/>
  <c r="L69" i="31"/>
  <c r="O69" i="31" s="1"/>
  <c r="Q69" i="31" s="1"/>
  <c r="N68" i="31"/>
  <c r="L68" i="31"/>
  <c r="O68" i="31" s="1"/>
  <c r="Q68" i="31" s="1"/>
  <c r="N67" i="31"/>
  <c r="L67" i="31"/>
  <c r="O67" i="31" s="1"/>
  <c r="Q67" i="31" s="1"/>
  <c r="Q66" i="31"/>
  <c r="O66" i="31"/>
  <c r="N66" i="31"/>
  <c r="L66" i="31"/>
  <c r="N65" i="31"/>
  <c r="L65" i="31"/>
  <c r="O64" i="31"/>
  <c r="Q64" i="31" s="1"/>
  <c r="N64" i="31"/>
  <c r="L64" i="31"/>
  <c r="N63" i="31"/>
  <c r="L63" i="31"/>
  <c r="N62" i="31"/>
  <c r="L62" i="31"/>
  <c r="O62" i="31" s="1"/>
  <c r="Q62" i="31" s="1"/>
  <c r="O61" i="31"/>
  <c r="Q61" i="31" s="1"/>
  <c r="N61" i="31"/>
  <c r="L61" i="31"/>
  <c r="N60" i="31"/>
  <c r="L60" i="31"/>
  <c r="O60" i="31" s="1"/>
  <c r="Q60" i="31" s="1"/>
  <c r="N59" i="31"/>
  <c r="L59" i="31"/>
  <c r="O59" i="31" s="1"/>
  <c r="Q59" i="31" s="1"/>
  <c r="O58" i="31"/>
  <c r="Q58" i="31" s="1"/>
  <c r="N58" i="31"/>
  <c r="L58" i="31"/>
  <c r="N57" i="31"/>
  <c r="O57" i="31" s="1"/>
  <c r="Q57" i="31" s="1"/>
  <c r="L57" i="31"/>
  <c r="O56" i="31"/>
  <c r="Q56" i="31" s="1"/>
  <c r="N56" i="31"/>
  <c r="L56" i="31"/>
  <c r="O55" i="31"/>
  <c r="Q55" i="31" s="1"/>
  <c r="N55" i="31"/>
  <c r="L55" i="31"/>
  <c r="N54" i="31"/>
  <c r="L54" i="31"/>
  <c r="O54" i="31" s="1"/>
  <c r="Q54" i="31" s="1"/>
  <c r="N53" i="31"/>
  <c r="L53" i="31"/>
  <c r="O53" i="31" s="1"/>
  <c r="Q53" i="31" s="1"/>
  <c r="N52" i="31"/>
  <c r="L52" i="31"/>
  <c r="O52" i="31" s="1"/>
  <c r="Q52" i="31" s="1"/>
  <c r="N51" i="31"/>
  <c r="L51" i="31"/>
  <c r="O51" i="31" s="1"/>
  <c r="Q51" i="31" s="1"/>
  <c r="Q50" i="31"/>
  <c r="N50" i="31"/>
  <c r="L50" i="31"/>
  <c r="O50" i="31" s="1"/>
  <c r="N49" i="31"/>
  <c r="L49" i="31"/>
  <c r="O49" i="31" s="1"/>
  <c r="Q49" i="31" s="1"/>
  <c r="N48" i="31"/>
  <c r="L48" i="31"/>
  <c r="O48" i="31" s="1"/>
  <c r="Q48" i="31" s="1"/>
  <c r="N47" i="31"/>
  <c r="O47" i="31" s="1"/>
  <c r="Q47" i="31" s="1"/>
  <c r="L47" i="31"/>
  <c r="N46" i="31"/>
  <c r="L46" i="31"/>
  <c r="O46" i="31" s="1"/>
  <c r="Q46" i="31" s="1"/>
  <c r="N45" i="31"/>
  <c r="L45" i="31"/>
  <c r="O45" i="31" s="1"/>
  <c r="Q45" i="31" s="1"/>
  <c r="O44" i="31"/>
  <c r="Q44" i="31" s="1"/>
  <c r="N44" i="31"/>
  <c r="L44" i="31"/>
  <c r="N43" i="31"/>
  <c r="L43" i="31"/>
  <c r="O43" i="31" s="1"/>
  <c r="Q43" i="31" s="1"/>
  <c r="N42" i="31"/>
  <c r="L42" i="31"/>
  <c r="O42" i="31" s="1"/>
  <c r="Q42" i="31" s="1"/>
  <c r="N41" i="31"/>
  <c r="L41" i="31"/>
  <c r="O41" i="31" s="1"/>
  <c r="Q41" i="31" s="1"/>
  <c r="N40" i="31"/>
  <c r="L40" i="31"/>
  <c r="O40" i="31" s="1"/>
  <c r="Q40" i="31" s="1"/>
  <c r="N39" i="31"/>
  <c r="L39" i="31"/>
  <c r="O39" i="31" s="1"/>
  <c r="Q39" i="31" s="1"/>
  <c r="N38" i="31"/>
  <c r="L38" i="31"/>
  <c r="O38" i="31" s="1"/>
  <c r="Q38" i="31" s="1"/>
  <c r="N37" i="31"/>
  <c r="L37" i="31"/>
  <c r="O37" i="31" s="1"/>
  <c r="Q37" i="31" s="1"/>
  <c r="N36" i="31"/>
  <c r="L36" i="31"/>
  <c r="O36" i="31" s="1"/>
  <c r="Q36" i="31" s="1"/>
  <c r="O35" i="31"/>
  <c r="Q35" i="31" s="1"/>
  <c r="N35" i="31"/>
  <c r="L35" i="31"/>
  <c r="N34" i="31"/>
  <c r="L34" i="31"/>
  <c r="O34" i="31" s="1"/>
  <c r="Q34" i="31" s="1"/>
  <c r="O33" i="31"/>
  <c r="Q33" i="31" s="1"/>
  <c r="N33" i="31"/>
  <c r="L33" i="31"/>
  <c r="N32" i="31"/>
  <c r="L32" i="31"/>
  <c r="O32" i="31" s="1"/>
  <c r="Q32" i="31" s="1"/>
  <c r="Q31" i="31"/>
  <c r="O31" i="31"/>
  <c r="N31" i="31"/>
  <c r="L31" i="31"/>
  <c r="N30" i="31"/>
  <c r="L30" i="31"/>
  <c r="O30" i="31" s="1"/>
  <c r="Q30" i="31" s="1"/>
  <c r="O29" i="31"/>
  <c r="Q29" i="31" s="1"/>
  <c r="N29" i="31"/>
  <c r="L29" i="31"/>
  <c r="N28" i="31"/>
  <c r="L28" i="31"/>
  <c r="N27" i="31"/>
  <c r="L27" i="31"/>
  <c r="O27" i="31" s="1"/>
  <c r="Q27" i="31" s="1"/>
  <c r="N26" i="31"/>
  <c r="L26" i="31"/>
  <c r="O26" i="31" s="1"/>
  <c r="Q26" i="31" s="1"/>
  <c r="N25" i="31"/>
  <c r="O25" i="31" s="1"/>
  <c r="Q25" i="31" s="1"/>
  <c r="L25" i="31"/>
  <c r="N24" i="31"/>
  <c r="L24" i="31"/>
  <c r="O24" i="31" s="1"/>
  <c r="Q24" i="31" s="1"/>
  <c r="N23" i="31"/>
  <c r="O23" i="31" s="1"/>
  <c r="Q23" i="31" s="1"/>
  <c r="L23" i="31"/>
  <c r="O22" i="31"/>
  <c r="Q22" i="31" s="1"/>
  <c r="N22" i="31"/>
  <c r="L22" i="31"/>
  <c r="N21" i="31"/>
  <c r="O21" i="31" s="1"/>
  <c r="Q21" i="31" s="1"/>
  <c r="L21" i="31"/>
  <c r="N20" i="31"/>
  <c r="L20" i="31"/>
  <c r="O20" i="31" s="1"/>
  <c r="Q20" i="31" s="1"/>
  <c r="O19" i="31"/>
  <c r="Q19" i="31" s="1"/>
  <c r="N19" i="31"/>
  <c r="L19" i="31"/>
  <c r="N18" i="31"/>
  <c r="L18" i="31"/>
  <c r="O18" i="31" s="1"/>
  <c r="Q18" i="31" s="1"/>
  <c r="O17" i="31"/>
  <c r="Q17" i="31" s="1"/>
  <c r="N17" i="31"/>
  <c r="L17" i="31"/>
  <c r="N16" i="31"/>
  <c r="L16" i="31"/>
  <c r="O16" i="31" s="1"/>
  <c r="Q16" i="31" s="1"/>
  <c r="Q15" i="31"/>
  <c r="O15" i="31"/>
  <c r="N15" i="31"/>
  <c r="L15" i="31"/>
  <c r="N14" i="31"/>
  <c r="L14" i="31"/>
  <c r="O14" i="31" s="1"/>
  <c r="Q14" i="31" s="1"/>
  <c r="O13" i="31"/>
  <c r="Q13" i="31" s="1"/>
  <c r="N13" i="31"/>
  <c r="L13" i="31"/>
  <c r="N12" i="31"/>
  <c r="L12" i="31"/>
  <c r="O12" i="31" s="1"/>
  <c r="Q12" i="31" s="1"/>
  <c r="O11" i="31"/>
  <c r="Q11" i="31" s="1"/>
  <c r="N11" i="31"/>
  <c r="L11" i="31"/>
  <c r="N10" i="31"/>
  <c r="L10" i="31"/>
  <c r="O10" i="31" s="1"/>
  <c r="Q10" i="31" s="1"/>
  <c r="N9" i="31"/>
  <c r="O9" i="31" s="1"/>
  <c r="Q9" i="31" s="1"/>
  <c r="L9" i="31"/>
  <c r="O8" i="31"/>
  <c r="Q8" i="31" s="1"/>
  <c r="N8" i="31"/>
  <c r="L8" i="31"/>
  <c r="N7" i="31"/>
  <c r="L7" i="31"/>
  <c r="O7" i="31" s="1"/>
  <c r="Q7" i="31" s="1"/>
  <c r="N6" i="31"/>
  <c r="O6" i="31" s="1"/>
  <c r="Q6" i="31" s="1"/>
  <c r="L6" i="31"/>
  <c r="N5" i="31"/>
  <c r="L5" i="31"/>
  <c r="O5" i="31" s="1"/>
  <c r="Q5" i="31" s="1"/>
  <c r="N4" i="31"/>
  <c r="L4" i="31"/>
  <c r="O4" i="31" s="1"/>
  <c r="Q4" i="31" s="1"/>
  <c r="N3" i="31"/>
  <c r="L3" i="31"/>
  <c r="O3" i="31" s="1"/>
  <c r="Q3" i="31" s="1"/>
  <c r="Q2" i="31"/>
  <c r="N2" i="31"/>
  <c r="L2" i="31"/>
  <c r="O65" i="31" l="1"/>
  <c r="Q65" i="31" s="1"/>
  <c r="O245" i="31"/>
  <c r="Q245" i="31" s="1"/>
  <c r="O28" i="31"/>
  <c r="Q28" i="31" s="1"/>
  <c r="O63" i="31"/>
  <c r="Q63" i="31" s="1"/>
  <c r="F36" i="24" l="1"/>
  <c r="F33" i="24"/>
  <c r="E55" i="24" l="1"/>
  <c r="E6" i="24"/>
  <c r="E5" i="24"/>
  <c r="G5" i="24" s="1"/>
  <c r="E4" i="24"/>
  <c r="G4" i="24" s="1"/>
  <c r="E3" i="24"/>
  <c r="G3" i="24" s="1"/>
  <c r="E7" i="24"/>
  <c r="G7" i="24" s="1"/>
  <c r="E8" i="24"/>
  <c r="G8" i="24" s="1"/>
  <c r="E9" i="24"/>
  <c r="G9" i="24" s="1"/>
  <c r="E10" i="24"/>
  <c r="E11" i="24"/>
  <c r="G11" i="24" s="1"/>
  <c r="E12" i="24"/>
  <c r="G12" i="24" s="1"/>
  <c r="E13" i="24"/>
  <c r="G13" i="24" s="1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F26" i="24" l="1"/>
  <c r="F43" i="24"/>
  <c r="G43" i="24" s="1"/>
  <c r="F18" i="24"/>
  <c r="G18" i="24" s="1"/>
  <c r="F21" i="24"/>
  <c r="G21" i="24" s="1"/>
  <c r="F32" i="24"/>
  <c r="G32" i="24" s="1"/>
  <c r="F19" i="24"/>
  <c r="G19" i="24" s="1"/>
  <c r="F42" i="24"/>
  <c r="G42" i="24" s="1"/>
  <c r="F20" i="24"/>
  <c r="G20" i="24" s="1"/>
  <c r="F49" i="24"/>
  <c r="G49" i="24" s="1"/>
  <c r="F47" i="24"/>
  <c r="G47" i="24" s="1"/>
  <c r="F23" i="24"/>
  <c r="G23" i="24" s="1"/>
  <c r="F28" i="24"/>
  <c r="G28" i="24" s="1"/>
  <c r="F22" i="24"/>
  <c r="G22" i="24" s="1"/>
  <c r="F25" i="24"/>
  <c r="G25" i="24" s="1"/>
  <c r="F29" i="24"/>
  <c r="G29" i="24" s="1"/>
  <c r="F30" i="24"/>
  <c r="G30" i="24" s="1"/>
  <c r="F39" i="24"/>
  <c r="G39" i="24" s="1"/>
  <c r="F31" i="24"/>
  <c r="G31" i="24" s="1"/>
  <c r="F14" i="24"/>
  <c r="F40" i="24"/>
  <c r="G40" i="24" s="1"/>
  <c r="G33" i="24"/>
  <c r="F41" i="24"/>
  <c r="G41" i="24" s="1"/>
  <c r="F50" i="24"/>
  <c r="G50" i="24" s="1"/>
  <c r="F10" i="24"/>
  <c r="G10" i="24" s="1"/>
  <c r="F51" i="24"/>
  <c r="G51" i="24" s="1"/>
  <c r="G6" i="24"/>
  <c r="F52" i="24"/>
  <c r="G52" i="24" s="1"/>
  <c r="G14" i="24"/>
  <c r="F53" i="24"/>
  <c r="G53" i="24" s="1"/>
  <c r="F54" i="24"/>
  <c r="G54" i="24" s="1"/>
  <c r="F55" i="24"/>
  <c r="G55" i="24" s="1"/>
  <c r="F15" i="24"/>
  <c r="G15" i="24" s="1"/>
  <c r="F35" i="24"/>
  <c r="G35" i="24" s="1"/>
  <c r="F16" i="24"/>
  <c r="G16" i="24" s="1"/>
  <c r="G36" i="24"/>
  <c r="F17" i="24"/>
  <c r="G17" i="24" s="1"/>
  <c r="F37" i="24"/>
  <c r="G37" i="24" s="1"/>
  <c r="F38" i="24"/>
  <c r="G38" i="24" s="1"/>
  <c r="F6" i="24"/>
  <c r="F24" i="24"/>
  <c r="G24" i="24" s="1"/>
  <c r="F44" i="24"/>
  <c r="G44" i="24" s="1"/>
  <c r="F45" i="24"/>
  <c r="G45" i="24" s="1"/>
  <c r="G26" i="24"/>
  <c r="F46" i="24"/>
  <c r="G46" i="24" s="1"/>
  <c r="F27" i="24"/>
  <c r="F48" i="24"/>
  <c r="G48" i="24" s="1"/>
  <c r="F34" i="24"/>
  <c r="G34" i="24" s="1"/>
  <c r="G27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Ashish Verma</author>
  </authors>
  <commentList>
    <comment ref="N1" authorId="0" shapeId="0" xr:uid="{6214FE7C-F79B-4E70-A610-317870B39054}">
      <text>
        <r>
          <rPr>
            <b/>
            <sz val="9"/>
            <color indexed="81"/>
            <rFont val="Tahoma"/>
            <family val="2"/>
          </rPr>
          <t>Ashish Verma:</t>
        </r>
        <r>
          <rPr>
            <sz val="9"/>
            <color indexed="81"/>
            <rFont val="Tahoma"/>
            <family val="2"/>
          </rPr>
          <t xml:space="preserve">
negative values in background replaced with zero</t>
        </r>
      </text>
    </comment>
    <comment ref="L129" authorId="0" shapeId="0" xr:uid="{6C4F7B14-8B34-42C6-9942-5549108302AD}">
      <text>
        <r>
          <rPr>
            <b/>
            <sz val="9"/>
            <color indexed="81"/>
            <rFont val="Tahoma"/>
            <family val="2"/>
          </rPr>
          <t>Ashish Verma:</t>
        </r>
        <r>
          <rPr>
            <sz val="9"/>
            <color indexed="81"/>
            <rFont val="Tahoma"/>
            <family val="2"/>
          </rPr>
          <t xml:space="preserve">
-0.026</t>
        </r>
      </text>
    </comment>
    <comment ref="L132" authorId="0" shapeId="0" xr:uid="{BC945AF9-30F5-4A7F-8F71-0B9961618BAA}">
      <text>
        <r>
          <rPr>
            <b/>
            <sz val="9"/>
            <color indexed="81"/>
            <rFont val="Tahoma"/>
            <family val="2"/>
          </rPr>
          <t>Ashish Verma:</t>
        </r>
        <r>
          <rPr>
            <sz val="9"/>
            <color indexed="81"/>
            <rFont val="Tahoma"/>
            <family val="2"/>
          </rPr>
          <t xml:space="preserve">
-0.024</t>
        </r>
      </text>
    </comment>
    <comment ref="L192" authorId="0" shapeId="0" xr:uid="{CCF9FD8B-80D8-4968-A205-12CF8207A71B}">
      <text>
        <r>
          <rPr>
            <b/>
            <sz val="9"/>
            <color indexed="81"/>
            <rFont val="Tahoma"/>
            <family val="2"/>
          </rPr>
          <t>Ashish Verma:</t>
        </r>
        <r>
          <rPr>
            <sz val="9"/>
            <color indexed="81"/>
            <rFont val="Tahoma"/>
            <family val="2"/>
          </rPr>
          <t xml:space="preserve">
-0.00237</t>
        </r>
      </text>
    </comment>
  </commentList>
</comments>
</file>

<file path=xl/sharedStrings.xml><?xml version="1.0" encoding="utf-8"?>
<sst xmlns="http://schemas.openxmlformats.org/spreadsheetml/2006/main" count="4574" uniqueCount="149">
  <si>
    <t>N</t>
  </si>
  <si>
    <t>Yes</t>
  </si>
  <si>
    <t>Amundsen</t>
  </si>
  <si>
    <t>Upper</t>
  </si>
  <si>
    <t>Upper (10-45m)</t>
  </si>
  <si>
    <t>Lower</t>
  </si>
  <si>
    <t>Lower (274-507m)</t>
  </si>
  <si>
    <t>Makarov</t>
  </si>
  <si>
    <t>Nansen</t>
  </si>
  <si>
    <t>Epipelagic</t>
  </si>
  <si>
    <t>Mesopelagic</t>
  </si>
  <si>
    <t>sampleID</t>
  </si>
  <si>
    <t>depth</t>
  </si>
  <si>
    <t>shape</t>
  </si>
  <si>
    <t>element</t>
  </si>
  <si>
    <t>atomic%</t>
  </si>
  <si>
    <t>standard</t>
  </si>
  <si>
    <t>Cr</t>
  </si>
  <si>
    <t>S1-1</t>
  </si>
  <si>
    <t>SEF20</t>
  </si>
  <si>
    <t>SEF</t>
  </si>
  <si>
    <t>C</t>
  </si>
  <si>
    <t>C Vit</t>
  </si>
  <si>
    <t>SEF8-2</t>
  </si>
  <si>
    <t>SEF8</t>
  </si>
  <si>
    <t>SEF8-4</t>
  </si>
  <si>
    <t>SEF8-5</t>
  </si>
  <si>
    <t>SEF8-6</t>
  </si>
  <si>
    <t>SEF8-7</t>
  </si>
  <si>
    <t>SEF66-1</t>
  </si>
  <si>
    <t>SEF66</t>
  </si>
  <si>
    <t>SEF66-2</t>
  </si>
  <si>
    <t>SEF66-4</t>
  </si>
  <si>
    <t>SEF72-2</t>
  </si>
  <si>
    <t>SEF72</t>
  </si>
  <si>
    <t>SEF72-3</t>
  </si>
  <si>
    <t>SEF72-4</t>
  </si>
  <si>
    <t>SEF72-5</t>
  </si>
  <si>
    <t>SEF72-9</t>
  </si>
  <si>
    <t>SEF36-1</t>
  </si>
  <si>
    <t>SEF36</t>
  </si>
  <si>
    <t>SEF68-1</t>
  </si>
  <si>
    <t>SEF68</t>
  </si>
  <si>
    <t>SEF68-2</t>
  </si>
  <si>
    <t>SEF68-3</t>
  </si>
  <si>
    <t>SEF68-4</t>
  </si>
  <si>
    <t>SEF4-5</t>
  </si>
  <si>
    <t>SEF4</t>
  </si>
  <si>
    <t>SEF8-1</t>
  </si>
  <si>
    <t>SEF66-3</t>
  </si>
  <si>
    <t>SEF72-1</t>
  </si>
  <si>
    <t>SEF72-6</t>
  </si>
  <si>
    <t>SEF72-7</t>
  </si>
  <si>
    <t>SEF36-3</t>
  </si>
  <si>
    <t>SEF72-8</t>
  </si>
  <si>
    <t>S2-1</t>
  </si>
  <si>
    <t>SEF22</t>
  </si>
  <si>
    <t>SEF4-7</t>
  </si>
  <si>
    <t>SEF8-3</t>
  </si>
  <si>
    <t>SEF36-2</t>
  </si>
  <si>
    <t>EPS</t>
  </si>
  <si>
    <t>BN</t>
  </si>
  <si>
    <t>P</t>
  </si>
  <si>
    <t>GaP</t>
  </si>
  <si>
    <t>Ca</t>
  </si>
  <si>
    <t>SEF11-3</t>
  </si>
  <si>
    <t>SEF11</t>
  </si>
  <si>
    <t>SEF11-4</t>
  </si>
  <si>
    <t>SEF11-5</t>
  </si>
  <si>
    <t>SEF11-7</t>
  </si>
  <si>
    <t>SEF11-8</t>
  </si>
  <si>
    <t>SEF64-1</t>
  </si>
  <si>
    <t>SEF64</t>
  </si>
  <si>
    <t>SEF44-2</t>
  </si>
  <si>
    <t>SEF44</t>
  </si>
  <si>
    <t>SEF44-3</t>
  </si>
  <si>
    <t>SEF60-3</t>
  </si>
  <si>
    <t>SEF60</t>
  </si>
  <si>
    <t>SEF26-1</t>
  </si>
  <si>
    <t>SEF26</t>
  </si>
  <si>
    <t>SEF26-4</t>
  </si>
  <si>
    <t>SEF26-5</t>
  </si>
  <si>
    <t>SEF26-8</t>
  </si>
  <si>
    <t>SEF26-10</t>
  </si>
  <si>
    <t>SEF44-1</t>
  </si>
  <si>
    <t>SEF26-9</t>
  </si>
  <si>
    <t>S3-1</t>
  </si>
  <si>
    <t>SEF25</t>
  </si>
  <si>
    <t>SEF32-1</t>
  </si>
  <si>
    <t>SEF32</t>
  </si>
  <si>
    <t>SEF11-1</t>
  </si>
  <si>
    <t>SEF11-2</t>
  </si>
  <si>
    <t>Mg</t>
  </si>
  <si>
    <t>Cell connections</t>
  </si>
  <si>
    <t>Cell division</t>
  </si>
  <si>
    <t>No</t>
  </si>
  <si>
    <t>CC</t>
  </si>
  <si>
    <t>atomic_mass_A</t>
  </si>
  <si>
    <t>depthID</t>
  </si>
  <si>
    <t>C_N</t>
  </si>
  <si>
    <t>C_P</t>
  </si>
  <si>
    <t>N_P</t>
  </si>
  <si>
    <t>mol_percent</t>
  </si>
  <si>
    <t>mol_frac</t>
  </si>
  <si>
    <t>total_mol_frac</t>
  </si>
  <si>
    <t xml:space="preserve">P </t>
  </si>
  <si>
    <t>Prokaryotic cell</t>
  </si>
  <si>
    <t xml:space="preserve">Extracellular polymeric substances </t>
  </si>
  <si>
    <t>PL</t>
  </si>
  <si>
    <t>MB</t>
  </si>
  <si>
    <t>FL</t>
  </si>
  <si>
    <t>CD</t>
  </si>
  <si>
    <t>Tubules like</t>
  </si>
  <si>
    <t>TL</t>
  </si>
  <si>
    <t>Rods</t>
  </si>
  <si>
    <t>Spirals</t>
  </si>
  <si>
    <t>Spirochetes</t>
  </si>
  <si>
    <t>Cocci</t>
  </si>
  <si>
    <t>Flagella like</t>
  </si>
  <si>
    <t>Membrane blebbing</t>
  </si>
  <si>
    <t>Vesicle like structures</t>
  </si>
  <si>
    <t>VL</t>
  </si>
  <si>
    <t>Tubules like structures + Vesicle like structures</t>
  </si>
  <si>
    <t>TL-VL</t>
  </si>
  <si>
    <t xml:space="preserve"> Tubules like + Extracellular polymeric substances</t>
  </si>
  <si>
    <t>TL-EPS</t>
  </si>
  <si>
    <t>Pili like structures</t>
  </si>
  <si>
    <t>Vesicle-like structures</t>
  </si>
  <si>
    <t>filtration</t>
  </si>
  <si>
    <t>depth_category</t>
  </si>
  <si>
    <t>depth_range</t>
  </si>
  <si>
    <t>criteria</t>
  </si>
  <si>
    <t>n</t>
  </si>
  <si>
    <t>station</t>
  </si>
  <si>
    <t>counts</t>
  </si>
  <si>
    <t>category</t>
  </si>
  <si>
    <t>relative_atoms</t>
  </si>
  <si>
    <t>id</t>
  </si>
  <si>
    <t>type</t>
  </si>
  <si>
    <t>factory_standard</t>
  </si>
  <si>
    <t>background_RA</t>
  </si>
  <si>
    <t>background_RA_updated</t>
  </si>
  <si>
    <t>features</t>
  </si>
  <si>
    <t>feature_acronym</t>
  </si>
  <si>
    <t>triplet_id</t>
  </si>
  <si>
    <t>Vibrios</t>
  </si>
  <si>
    <t xml:space="preserve">Cocci </t>
  </si>
  <si>
    <t>percentage</t>
  </si>
  <si>
    <t>ocean_basin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</si>
</sst>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4" fillId="0" borderId="0" xfId="0" applyFont="1"/>
    <xf numFmtId="0" fontId="4" fillId="0" borderId="0" xfId="0" applyFont="1" applyFill="1"/>
    <xf numFmtId="0" fontId="0" fillId="0" borderId="0" xfId="0" applyFill="1"/>
    <xf numFmtId="165" fontId="4" fillId="0" borderId="0" xfId="0" applyNumberFormat="1" applyFont="1"/>
    <xf numFmtId="2" fontId="4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84" zoomScaleNormal="115" workbookViewId="0">
      <selection activeCell="M18" sqref="M18"/>
    </sheetView>
  </sheetViews>
  <sheetFormatPr defaultRowHeight="14.5" x14ac:dyDescent="0.35"/>
  <cols>
    <col min="3" max="3" width="15.453125" bestFit="1" customWidth="1"/>
    <col min="4" max="4" width="16.81640625" bestFit="1" customWidth="1"/>
    <col min="5" max="5" width="11.453125" bestFit="1" customWidth="1"/>
  </cols>
  <sheetData>
    <row r="1" spans="1:6" x14ac:dyDescent="0.35">
      <c r="A1" t="s">
        <v>128</v>
      </c>
      <c r="B1" t="s">
        <v>148</v>
      </c>
      <c r="C1" t="s">
        <v>129</v>
      </c>
      <c r="D1" t="s">
        <v>130</v>
      </c>
      <c r="E1" t="s">
        <v>13</v>
      </c>
      <c r="F1" t="s">
        <v>132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114</v>
      </c>
      <c r="F2">
        <v>20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145</v>
      </c>
      <c r="F3">
        <v>20</v>
      </c>
    </row>
    <row r="4" spans="1:6" x14ac:dyDescent="0.35">
      <c r="A4" t="s">
        <v>1</v>
      </c>
      <c r="B4" t="s">
        <v>2</v>
      </c>
      <c r="C4" t="s">
        <v>3</v>
      </c>
      <c r="D4" t="s">
        <v>4</v>
      </c>
      <c r="E4" t="s">
        <v>117</v>
      </c>
      <c r="F4">
        <v>8</v>
      </c>
    </row>
    <row r="5" spans="1:6" x14ac:dyDescent="0.35">
      <c r="A5" t="s">
        <v>1</v>
      </c>
      <c r="B5" t="s">
        <v>2</v>
      </c>
      <c r="C5" t="s">
        <v>3</v>
      </c>
      <c r="D5" t="s">
        <v>4</v>
      </c>
      <c r="E5" t="s">
        <v>115</v>
      </c>
      <c r="F5">
        <v>5</v>
      </c>
    </row>
    <row r="6" spans="1:6" x14ac:dyDescent="0.35">
      <c r="A6" t="s">
        <v>1</v>
      </c>
      <c r="B6" t="s">
        <v>2</v>
      </c>
      <c r="C6" t="s">
        <v>3</v>
      </c>
      <c r="D6" t="s">
        <v>4</v>
      </c>
      <c r="E6" t="s">
        <v>116</v>
      </c>
      <c r="F6">
        <v>1</v>
      </c>
    </row>
    <row r="7" spans="1:6" x14ac:dyDescent="0.35">
      <c r="A7" t="s">
        <v>1</v>
      </c>
      <c r="B7" t="s">
        <v>2</v>
      </c>
      <c r="C7" t="s">
        <v>5</v>
      </c>
      <c r="D7" t="s">
        <v>6</v>
      </c>
      <c r="E7" t="s">
        <v>114</v>
      </c>
      <c r="F7">
        <v>6</v>
      </c>
    </row>
    <row r="8" spans="1:6" x14ac:dyDescent="0.35">
      <c r="A8" t="s">
        <v>1</v>
      </c>
      <c r="B8" t="s">
        <v>2</v>
      </c>
      <c r="C8" t="s">
        <v>5</v>
      </c>
      <c r="D8" t="s">
        <v>6</v>
      </c>
      <c r="E8" t="s">
        <v>145</v>
      </c>
      <c r="F8">
        <v>2</v>
      </c>
    </row>
    <row r="9" spans="1:6" x14ac:dyDescent="0.35">
      <c r="A9" t="s">
        <v>1</v>
      </c>
      <c r="B9" t="s">
        <v>2</v>
      </c>
      <c r="C9" t="s">
        <v>5</v>
      </c>
      <c r="D9" t="s">
        <v>6</v>
      </c>
      <c r="E9" t="s">
        <v>117</v>
      </c>
      <c r="F9">
        <v>2</v>
      </c>
    </row>
    <row r="10" spans="1:6" x14ac:dyDescent="0.35">
      <c r="A10" t="s">
        <v>1</v>
      </c>
      <c r="B10" t="s">
        <v>2</v>
      </c>
      <c r="C10" t="s">
        <v>5</v>
      </c>
      <c r="D10" t="s">
        <v>6</v>
      </c>
      <c r="E10" t="s">
        <v>115</v>
      </c>
      <c r="F10">
        <v>1</v>
      </c>
    </row>
    <row r="11" spans="1:6" x14ac:dyDescent="0.35">
      <c r="A11" t="s">
        <v>1</v>
      </c>
      <c r="B11" t="s">
        <v>7</v>
      </c>
      <c r="C11" t="s">
        <v>3</v>
      </c>
      <c r="D11" t="s">
        <v>4</v>
      </c>
      <c r="E11" t="s">
        <v>114</v>
      </c>
      <c r="F11">
        <v>40</v>
      </c>
    </row>
    <row r="12" spans="1:6" x14ac:dyDescent="0.35">
      <c r="A12" t="s">
        <v>1</v>
      </c>
      <c r="B12" t="s">
        <v>7</v>
      </c>
      <c r="C12" t="s">
        <v>3</v>
      </c>
      <c r="D12" t="s">
        <v>4</v>
      </c>
      <c r="E12" t="s">
        <v>145</v>
      </c>
      <c r="F12">
        <v>7</v>
      </c>
    </row>
    <row r="13" spans="1:6" x14ac:dyDescent="0.35">
      <c r="A13" t="s">
        <v>1</v>
      </c>
      <c r="B13" t="s">
        <v>7</v>
      </c>
      <c r="C13" t="s">
        <v>3</v>
      </c>
      <c r="D13" t="s">
        <v>4</v>
      </c>
      <c r="E13" t="s">
        <v>117</v>
      </c>
      <c r="F13">
        <v>30</v>
      </c>
    </row>
    <row r="14" spans="1:6" x14ac:dyDescent="0.35">
      <c r="A14" t="s">
        <v>1</v>
      </c>
      <c r="B14" t="s">
        <v>7</v>
      </c>
      <c r="C14" t="s">
        <v>5</v>
      </c>
      <c r="D14" t="s">
        <v>6</v>
      </c>
      <c r="E14" t="s">
        <v>114</v>
      </c>
      <c r="F14">
        <v>15</v>
      </c>
    </row>
    <row r="15" spans="1:6" x14ac:dyDescent="0.35">
      <c r="A15" t="s">
        <v>1</v>
      </c>
      <c r="B15" t="s">
        <v>7</v>
      </c>
      <c r="C15" t="s">
        <v>5</v>
      </c>
      <c r="D15" t="s">
        <v>6</v>
      </c>
      <c r="E15" t="s">
        <v>145</v>
      </c>
      <c r="F15">
        <v>3</v>
      </c>
    </row>
    <row r="16" spans="1:6" x14ac:dyDescent="0.35">
      <c r="A16" t="s">
        <v>1</v>
      </c>
      <c r="B16" t="s">
        <v>7</v>
      </c>
      <c r="C16" t="s">
        <v>5</v>
      </c>
      <c r="D16" t="s">
        <v>6</v>
      </c>
      <c r="E16" t="s">
        <v>117</v>
      </c>
      <c r="F16">
        <v>8</v>
      </c>
    </row>
    <row r="17" spans="1:6" x14ac:dyDescent="0.35">
      <c r="A17" t="s">
        <v>1</v>
      </c>
      <c r="B17" t="s">
        <v>7</v>
      </c>
      <c r="C17" t="s">
        <v>5</v>
      </c>
      <c r="D17" t="s">
        <v>6</v>
      </c>
      <c r="E17" t="s">
        <v>115</v>
      </c>
      <c r="F17">
        <v>1</v>
      </c>
    </row>
    <row r="18" spans="1:6" x14ac:dyDescent="0.35">
      <c r="A18" t="s">
        <v>1</v>
      </c>
      <c r="B18" t="s">
        <v>8</v>
      </c>
      <c r="C18" t="s">
        <v>3</v>
      </c>
      <c r="D18" t="s">
        <v>4</v>
      </c>
      <c r="E18" t="s">
        <v>114</v>
      </c>
      <c r="F18">
        <v>15</v>
      </c>
    </row>
    <row r="19" spans="1:6" x14ac:dyDescent="0.35">
      <c r="A19" t="s">
        <v>1</v>
      </c>
      <c r="B19" t="s">
        <v>8</v>
      </c>
      <c r="C19" t="s">
        <v>3</v>
      </c>
      <c r="D19" t="s">
        <v>4</v>
      </c>
      <c r="E19" t="s">
        <v>145</v>
      </c>
      <c r="F19">
        <v>10</v>
      </c>
    </row>
    <row r="20" spans="1:6" x14ac:dyDescent="0.35">
      <c r="A20" t="s">
        <v>1</v>
      </c>
      <c r="B20" t="s">
        <v>8</v>
      </c>
      <c r="C20" t="s">
        <v>3</v>
      </c>
      <c r="D20" t="s">
        <v>4</v>
      </c>
      <c r="E20" t="s">
        <v>117</v>
      </c>
      <c r="F20">
        <v>20</v>
      </c>
    </row>
    <row r="21" spans="1:6" x14ac:dyDescent="0.35">
      <c r="A21" t="s">
        <v>1</v>
      </c>
      <c r="B21" t="s">
        <v>8</v>
      </c>
      <c r="C21" t="s">
        <v>3</v>
      </c>
      <c r="D21" t="s">
        <v>4</v>
      </c>
      <c r="E21" t="s">
        <v>115</v>
      </c>
      <c r="F21">
        <v>1</v>
      </c>
    </row>
    <row r="22" spans="1:6" x14ac:dyDescent="0.35">
      <c r="A22" t="s">
        <v>1</v>
      </c>
      <c r="B22" t="s">
        <v>8</v>
      </c>
      <c r="C22" t="s">
        <v>5</v>
      </c>
      <c r="D22" t="s">
        <v>6</v>
      </c>
      <c r="E22" t="s">
        <v>114</v>
      </c>
      <c r="F22">
        <v>9</v>
      </c>
    </row>
    <row r="23" spans="1:6" x14ac:dyDescent="0.35">
      <c r="A23" t="s">
        <v>1</v>
      </c>
      <c r="B23" t="s">
        <v>8</v>
      </c>
      <c r="C23" t="s">
        <v>5</v>
      </c>
      <c r="D23" t="s">
        <v>6</v>
      </c>
      <c r="E23" t="s">
        <v>145</v>
      </c>
      <c r="F23">
        <v>1</v>
      </c>
    </row>
    <row r="24" spans="1:6" x14ac:dyDescent="0.35">
      <c r="A24" t="s">
        <v>1</v>
      </c>
      <c r="B24" t="s">
        <v>8</v>
      </c>
      <c r="C24" t="s">
        <v>5</v>
      </c>
      <c r="D24" t="s">
        <v>6</v>
      </c>
      <c r="E24" t="s">
        <v>117</v>
      </c>
      <c r="F24">
        <v>2</v>
      </c>
    </row>
    <row r="25" spans="1:6" x14ac:dyDescent="0.35">
      <c r="A25" t="s">
        <v>1</v>
      </c>
      <c r="B25" t="s">
        <v>8</v>
      </c>
      <c r="C25" t="s">
        <v>5</v>
      </c>
      <c r="D25" t="s">
        <v>6</v>
      </c>
      <c r="E25" t="s">
        <v>116</v>
      </c>
      <c r="F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7325-AF43-45F3-9A02-18DBE7D3DE5C}">
  <dimension ref="A1:G67"/>
  <sheetViews>
    <sheetView zoomScale="115" zoomScaleNormal="115" workbookViewId="0">
      <selection activeCell="L12" sqref="L12"/>
    </sheetView>
  </sheetViews>
  <sheetFormatPr defaultRowHeight="14.5" x14ac:dyDescent="0.35"/>
  <cols>
    <col min="2" max="2" width="16.81640625" bestFit="1" customWidth="1"/>
    <col min="4" max="4" width="10.54296875" bestFit="1" customWidth="1"/>
    <col min="5" max="5" width="12.1796875" bestFit="1" customWidth="1"/>
  </cols>
  <sheetData>
    <row r="1" spans="1:7" x14ac:dyDescent="0.35">
      <c r="A1" t="s">
        <v>133</v>
      </c>
      <c r="B1" t="s">
        <v>130</v>
      </c>
      <c r="C1" t="s">
        <v>148</v>
      </c>
      <c r="D1" t="s">
        <v>13</v>
      </c>
      <c r="E1" t="s">
        <v>12</v>
      </c>
      <c r="F1" t="s">
        <v>147</v>
      </c>
    </row>
    <row r="2" spans="1:7" x14ac:dyDescent="0.35">
      <c r="A2">
        <v>5</v>
      </c>
      <c r="B2" t="s">
        <v>4</v>
      </c>
      <c r="C2" t="s">
        <v>8</v>
      </c>
      <c r="D2" t="s">
        <v>114</v>
      </c>
      <c r="E2" t="s">
        <v>9</v>
      </c>
      <c r="F2" s="1">
        <v>1.1299435028248499</v>
      </c>
      <c r="G2" s="1"/>
    </row>
    <row r="3" spans="1:7" x14ac:dyDescent="0.35">
      <c r="A3">
        <v>5</v>
      </c>
      <c r="B3" t="s">
        <v>4</v>
      </c>
      <c r="C3" t="s">
        <v>8</v>
      </c>
      <c r="D3" t="s">
        <v>114</v>
      </c>
      <c r="E3" t="s">
        <v>9</v>
      </c>
      <c r="F3" s="1">
        <v>2.82485875706214</v>
      </c>
      <c r="G3" s="1"/>
    </row>
    <row r="4" spans="1:7" x14ac:dyDescent="0.35">
      <c r="A4">
        <v>5</v>
      </c>
      <c r="B4" t="s">
        <v>4</v>
      </c>
      <c r="C4" t="s">
        <v>8</v>
      </c>
      <c r="D4" t="s">
        <v>114</v>
      </c>
      <c r="E4" t="s">
        <v>9</v>
      </c>
      <c r="F4" s="1">
        <v>1.1299435028248499</v>
      </c>
      <c r="G4" s="1"/>
    </row>
    <row r="5" spans="1:7" x14ac:dyDescent="0.35">
      <c r="A5">
        <v>5</v>
      </c>
      <c r="B5" t="s">
        <v>4</v>
      </c>
      <c r="C5" t="s">
        <v>8</v>
      </c>
      <c r="D5" t="s">
        <v>114</v>
      </c>
      <c r="E5" t="s">
        <v>9</v>
      </c>
      <c r="F5" s="1">
        <v>3.3898305084745699</v>
      </c>
      <c r="G5" s="1"/>
    </row>
    <row r="6" spans="1:7" x14ac:dyDescent="0.35">
      <c r="A6">
        <v>26</v>
      </c>
      <c r="B6" t="s">
        <v>4</v>
      </c>
      <c r="C6" t="s">
        <v>7</v>
      </c>
      <c r="D6" t="s">
        <v>114</v>
      </c>
      <c r="E6" t="s">
        <v>9</v>
      </c>
      <c r="F6" s="1">
        <v>1.1299435028248499</v>
      </c>
      <c r="G6" s="1"/>
    </row>
    <row r="7" spans="1:7" x14ac:dyDescent="0.35">
      <c r="A7">
        <v>42</v>
      </c>
      <c r="B7" t="s">
        <v>4</v>
      </c>
      <c r="C7" t="s">
        <v>7</v>
      </c>
      <c r="D7" t="s">
        <v>114</v>
      </c>
      <c r="E7" t="s">
        <v>9</v>
      </c>
      <c r="F7" s="1">
        <v>0.56497175141242895</v>
      </c>
      <c r="G7" s="1"/>
    </row>
    <row r="8" spans="1:7" x14ac:dyDescent="0.35">
      <c r="A8">
        <v>42</v>
      </c>
      <c r="B8" t="s">
        <v>4</v>
      </c>
      <c r="C8" t="s">
        <v>7</v>
      </c>
      <c r="D8" t="s">
        <v>114</v>
      </c>
      <c r="E8" t="s">
        <v>9</v>
      </c>
      <c r="F8" s="1">
        <v>1.1299435028248499</v>
      </c>
      <c r="G8" s="1"/>
    </row>
    <row r="9" spans="1:7" x14ac:dyDescent="0.35">
      <c r="A9">
        <v>42</v>
      </c>
      <c r="B9" t="s">
        <v>4</v>
      </c>
      <c r="C9" t="s">
        <v>7</v>
      </c>
      <c r="D9" t="s">
        <v>114</v>
      </c>
      <c r="E9" t="s">
        <v>9</v>
      </c>
      <c r="F9" s="1">
        <v>19.774011299434999</v>
      </c>
      <c r="G9" s="1"/>
    </row>
    <row r="10" spans="1:7" x14ac:dyDescent="0.35">
      <c r="A10">
        <v>53</v>
      </c>
      <c r="B10" t="s">
        <v>4</v>
      </c>
      <c r="C10" t="s">
        <v>2</v>
      </c>
      <c r="D10" t="s">
        <v>114</v>
      </c>
      <c r="E10" t="s">
        <v>9</v>
      </c>
      <c r="F10" s="1">
        <v>1.6949152542372801</v>
      </c>
      <c r="G10" s="1"/>
    </row>
    <row r="11" spans="1:7" x14ac:dyDescent="0.35">
      <c r="A11">
        <v>53</v>
      </c>
      <c r="B11" t="s">
        <v>4</v>
      </c>
      <c r="C11" t="s">
        <v>2</v>
      </c>
      <c r="D11" t="s">
        <v>114</v>
      </c>
      <c r="E11" t="s">
        <v>9</v>
      </c>
      <c r="F11" s="1">
        <v>1.1299435028248499</v>
      </c>
      <c r="G11" s="1"/>
    </row>
    <row r="12" spans="1:7" x14ac:dyDescent="0.35">
      <c r="A12">
        <v>55</v>
      </c>
      <c r="B12" t="s">
        <v>4</v>
      </c>
      <c r="C12" t="s">
        <v>2</v>
      </c>
      <c r="D12" t="s">
        <v>114</v>
      </c>
      <c r="E12" t="s">
        <v>9</v>
      </c>
      <c r="F12" s="1">
        <v>2.25988700564971</v>
      </c>
      <c r="G12" s="1"/>
    </row>
    <row r="13" spans="1:7" x14ac:dyDescent="0.35">
      <c r="A13">
        <v>55</v>
      </c>
      <c r="B13" t="s">
        <v>4</v>
      </c>
      <c r="C13" t="s">
        <v>2</v>
      </c>
      <c r="D13" t="s">
        <v>114</v>
      </c>
      <c r="E13" t="s">
        <v>9</v>
      </c>
      <c r="F13" s="1">
        <v>3.9548022598869998</v>
      </c>
      <c r="G13" s="1"/>
    </row>
    <row r="14" spans="1:7" x14ac:dyDescent="0.35">
      <c r="A14">
        <v>55</v>
      </c>
      <c r="B14" t="s">
        <v>4</v>
      </c>
      <c r="C14" t="s">
        <v>2</v>
      </c>
      <c r="D14" t="s">
        <v>114</v>
      </c>
      <c r="E14" t="s">
        <v>9</v>
      </c>
      <c r="F14" s="1">
        <v>2.25988700564971</v>
      </c>
      <c r="G14" s="1"/>
    </row>
    <row r="15" spans="1:7" x14ac:dyDescent="0.35">
      <c r="A15">
        <v>5</v>
      </c>
      <c r="B15" t="s">
        <v>4</v>
      </c>
      <c r="C15" t="s">
        <v>8</v>
      </c>
      <c r="D15" t="s">
        <v>145</v>
      </c>
      <c r="E15" t="s">
        <v>9</v>
      </c>
      <c r="F15" s="1">
        <v>1.6949152542372801</v>
      </c>
      <c r="G15" s="1"/>
    </row>
    <row r="16" spans="1:7" x14ac:dyDescent="0.35">
      <c r="A16">
        <v>5</v>
      </c>
      <c r="B16" t="s">
        <v>4</v>
      </c>
      <c r="C16" t="s">
        <v>8</v>
      </c>
      <c r="D16" t="s">
        <v>145</v>
      </c>
      <c r="E16" t="s">
        <v>9</v>
      </c>
      <c r="F16" s="1">
        <v>1.6949152542372801</v>
      </c>
      <c r="G16" s="1"/>
    </row>
    <row r="17" spans="1:7" x14ac:dyDescent="0.35">
      <c r="A17">
        <v>5</v>
      </c>
      <c r="B17" t="s">
        <v>4</v>
      </c>
      <c r="C17" t="s">
        <v>8</v>
      </c>
      <c r="D17" t="s">
        <v>145</v>
      </c>
      <c r="E17" t="s">
        <v>9</v>
      </c>
      <c r="F17" s="1">
        <v>0.56497175141242895</v>
      </c>
      <c r="G17" s="1"/>
    </row>
    <row r="18" spans="1:7" x14ac:dyDescent="0.35">
      <c r="A18">
        <v>5</v>
      </c>
      <c r="B18" t="s">
        <v>4</v>
      </c>
      <c r="C18" t="s">
        <v>8</v>
      </c>
      <c r="D18" t="s">
        <v>145</v>
      </c>
      <c r="E18" t="s">
        <v>9</v>
      </c>
      <c r="F18" s="1">
        <v>1.6949152542372801</v>
      </c>
      <c r="G18" s="1"/>
    </row>
    <row r="19" spans="1:7" x14ac:dyDescent="0.35">
      <c r="A19">
        <v>42</v>
      </c>
      <c r="B19" t="s">
        <v>4</v>
      </c>
      <c r="C19" t="s">
        <v>7</v>
      </c>
      <c r="D19" t="s">
        <v>145</v>
      </c>
      <c r="E19" t="s">
        <v>9</v>
      </c>
      <c r="F19" s="1">
        <v>0.56497175141242895</v>
      </c>
      <c r="G19" s="1"/>
    </row>
    <row r="20" spans="1:7" x14ac:dyDescent="0.35">
      <c r="A20">
        <v>42</v>
      </c>
      <c r="B20" t="s">
        <v>4</v>
      </c>
      <c r="C20" t="s">
        <v>7</v>
      </c>
      <c r="D20" t="s">
        <v>145</v>
      </c>
      <c r="E20" t="s">
        <v>9</v>
      </c>
      <c r="F20" s="1">
        <v>3.3898305084745699</v>
      </c>
      <c r="G20" s="1"/>
    </row>
    <row r="21" spans="1:7" x14ac:dyDescent="0.35">
      <c r="A21">
        <v>53</v>
      </c>
      <c r="B21" t="s">
        <v>4</v>
      </c>
      <c r="C21" t="s">
        <v>2</v>
      </c>
      <c r="D21" t="s">
        <v>145</v>
      </c>
      <c r="E21" t="s">
        <v>9</v>
      </c>
      <c r="F21" s="1">
        <v>1.6949152542372801</v>
      </c>
      <c r="G21" s="1"/>
    </row>
    <row r="22" spans="1:7" x14ac:dyDescent="0.35">
      <c r="A22">
        <v>53</v>
      </c>
      <c r="B22" t="s">
        <v>4</v>
      </c>
      <c r="C22" t="s">
        <v>2</v>
      </c>
      <c r="D22" t="s">
        <v>145</v>
      </c>
      <c r="E22" t="s">
        <v>9</v>
      </c>
      <c r="F22" s="1">
        <v>1.1299435028248499</v>
      </c>
      <c r="G22" s="1"/>
    </row>
    <row r="23" spans="1:7" x14ac:dyDescent="0.35">
      <c r="A23">
        <v>55</v>
      </c>
      <c r="B23" t="s">
        <v>4</v>
      </c>
      <c r="C23" t="s">
        <v>2</v>
      </c>
      <c r="D23" t="s">
        <v>145</v>
      </c>
      <c r="E23" t="s">
        <v>9</v>
      </c>
      <c r="F23" s="1">
        <v>0.56497175141242895</v>
      </c>
      <c r="G23" s="1"/>
    </row>
    <row r="24" spans="1:7" x14ac:dyDescent="0.35">
      <c r="A24">
        <v>55</v>
      </c>
      <c r="B24" t="s">
        <v>4</v>
      </c>
      <c r="C24" t="s">
        <v>2</v>
      </c>
      <c r="D24" t="s">
        <v>145</v>
      </c>
      <c r="E24" t="s">
        <v>9</v>
      </c>
      <c r="F24" s="1">
        <v>1.6949152542372801</v>
      </c>
      <c r="G24" s="1"/>
    </row>
    <row r="25" spans="1:7" x14ac:dyDescent="0.35">
      <c r="A25">
        <v>55</v>
      </c>
      <c r="B25" t="s">
        <v>4</v>
      </c>
      <c r="C25" t="s">
        <v>2</v>
      </c>
      <c r="D25" t="s">
        <v>145</v>
      </c>
      <c r="E25" t="s">
        <v>9</v>
      </c>
      <c r="F25" s="1">
        <v>2.82485875706214</v>
      </c>
      <c r="G25" s="1"/>
    </row>
    <row r="26" spans="1:7" x14ac:dyDescent="0.35">
      <c r="A26">
        <v>55</v>
      </c>
      <c r="B26" t="s">
        <v>4</v>
      </c>
      <c r="C26" t="s">
        <v>2</v>
      </c>
      <c r="D26" t="s">
        <v>145</v>
      </c>
      <c r="E26" t="s">
        <v>9</v>
      </c>
      <c r="F26" s="1">
        <v>3.3898305084745699</v>
      </c>
      <c r="G26" s="1"/>
    </row>
    <row r="27" spans="1:7" x14ac:dyDescent="0.35">
      <c r="A27">
        <v>5</v>
      </c>
      <c r="B27" t="s">
        <v>4</v>
      </c>
      <c r="C27" t="s">
        <v>8</v>
      </c>
      <c r="D27" t="s">
        <v>117</v>
      </c>
      <c r="E27" t="s">
        <v>9</v>
      </c>
      <c r="F27" s="1">
        <v>4.5197740112994298</v>
      </c>
      <c r="G27" s="1"/>
    </row>
    <row r="28" spans="1:7" x14ac:dyDescent="0.35">
      <c r="A28">
        <v>5</v>
      </c>
      <c r="B28" t="s">
        <v>4</v>
      </c>
      <c r="C28" t="s">
        <v>8</v>
      </c>
      <c r="D28" t="s">
        <v>117</v>
      </c>
      <c r="E28" t="s">
        <v>9</v>
      </c>
      <c r="F28" s="1">
        <v>1.6949152542372801</v>
      </c>
      <c r="G28" s="1"/>
    </row>
    <row r="29" spans="1:7" x14ac:dyDescent="0.35">
      <c r="A29">
        <v>5</v>
      </c>
      <c r="B29" t="s">
        <v>4</v>
      </c>
      <c r="C29" t="s">
        <v>8</v>
      </c>
      <c r="D29" t="s">
        <v>117</v>
      </c>
      <c r="E29" t="s">
        <v>9</v>
      </c>
      <c r="F29" s="1">
        <v>1.6949152542372801</v>
      </c>
      <c r="G29" s="1"/>
    </row>
    <row r="30" spans="1:7" x14ac:dyDescent="0.35">
      <c r="A30">
        <v>5</v>
      </c>
      <c r="B30" t="s">
        <v>4</v>
      </c>
      <c r="C30" t="s">
        <v>8</v>
      </c>
      <c r="D30" t="s">
        <v>117</v>
      </c>
      <c r="E30" t="s">
        <v>9</v>
      </c>
      <c r="F30" s="1">
        <v>3.3898305084745699</v>
      </c>
      <c r="G30" s="1"/>
    </row>
    <row r="31" spans="1:7" x14ac:dyDescent="0.35">
      <c r="A31">
        <v>26</v>
      </c>
      <c r="B31" t="s">
        <v>4</v>
      </c>
      <c r="C31" t="s">
        <v>7</v>
      </c>
      <c r="D31" t="s">
        <v>117</v>
      </c>
      <c r="E31" t="s">
        <v>9</v>
      </c>
      <c r="F31" s="1">
        <v>0.56497175141242895</v>
      </c>
      <c r="G31" s="1"/>
    </row>
    <row r="32" spans="1:7" x14ac:dyDescent="0.35">
      <c r="A32">
        <v>26</v>
      </c>
      <c r="B32" t="s">
        <v>4</v>
      </c>
      <c r="C32" t="s">
        <v>7</v>
      </c>
      <c r="D32" t="s">
        <v>117</v>
      </c>
      <c r="E32" t="s">
        <v>9</v>
      </c>
      <c r="F32" s="1">
        <v>0.56497175141242895</v>
      </c>
      <c r="G32" s="1"/>
    </row>
    <row r="33" spans="1:7" x14ac:dyDescent="0.35">
      <c r="A33">
        <v>42</v>
      </c>
      <c r="B33" t="s">
        <v>4</v>
      </c>
      <c r="C33" t="s">
        <v>7</v>
      </c>
      <c r="D33" t="s">
        <v>117</v>
      </c>
      <c r="E33" t="s">
        <v>9</v>
      </c>
      <c r="F33" s="1">
        <v>0.56497175141242895</v>
      </c>
      <c r="G33" s="1"/>
    </row>
    <row r="34" spans="1:7" x14ac:dyDescent="0.35">
      <c r="A34">
        <v>42</v>
      </c>
      <c r="B34" t="s">
        <v>4</v>
      </c>
      <c r="C34" t="s">
        <v>7</v>
      </c>
      <c r="D34" t="s">
        <v>117</v>
      </c>
      <c r="E34" t="s">
        <v>9</v>
      </c>
      <c r="F34" s="1">
        <v>0.56497175141242895</v>
      </c>
      <c r="G34" s="1"/>
    </row>
    <row r="35" spans="1:7" x14ac:dyDescent="0.35">
      <c r="A35">
        <v>42</v>
      </c>
      <c r="B35" t="s">
        <v>4</v>
      </c>
      <c r="C35" t="s">
        <v>7</v>
      </c>
      <c r="D35" t="s">
        <v>117</v>
      </c>
      <c r="E35" t="s">
        <v>9</v>
      </c>
      <c r="F35" s="1">
        <v>14.6892655367231</v>
      </c>
      <c r="G35" s="1"/>
    </row>
    <row r="36" spans="1:7" x14ac:dyDescent="0.35">
      <c r="A36">
        <v>53</v>
      </c>
      <c r="B36" t="s">
        <v>4</v>
      </c>
      <c r="C36" t="s">
        <v>2</v>
      </c>
      <c r="D36" t="s">
        <v>117</v>
      </c>
      <c r="E36" t="s">
        <v>9</v>
      </c>
      <c r="F36" s="1">
        <v>0.56497175141242895</v>
      </c>
      <c r="G36" s="1"/>
    </row>
    <row r="37" spans="1:7" x14ac:dyDescent="0.35">
      <c r="A37">
        <v>55</v>
      </c>
      <c r="B37" t="s">
        <v>4</v>
      </c>
      <c r="C37" t="s">
        <v>2</v>
      </c>
      <c r="D37" t="s">
        <v>117</v>
      </c>
      <c r="E37" t="s">
        <v>9</v>
      </c>
      <c r="F37" s="1">
        <v>0.56497175141242895</v>
      </c>
      <c r="G37" s="1"/>
    </row>
    <row r="38" spans="1:7" x14ac:dyDescent="0.35">
      <c r="A38">
        <v>55</v>
      </c>
      <c r="B38" t="s">
        <v>4</v>
      </c>
      <c r="C38" t="s">
        <v>2</v>
      </c>
      <c r="D38" t="s">
        <v>117</v>
      </c>
      <c r="E38" t="s">
        <v>9</v>
      </c>
      <c r="F38" s="1">
        <v>3.3898305084745699</v>
      </c>
      <c r="G38" s="1"/>
    </row>
    <row r="39" spans="1:7" x14ac:dyDescent="0.35">
      <c r="A39">
        <v>5</v>
      </c>
      <c r="B39" t="s">
        <v>4</v>
      </c>
      <c r="C39" t="s">
        <v>8</v>
      </c>
      <c r="D39" t="s">
        <v>115</v>
      </c>
      <c r="E39" t="s">
        <v>9</v>
      </c>
      <c r="F39" s="1">
        <v>0.56497175141242895</v>
      </c>
      <c r="G39" s="1"/>
    </row>
    <row r="40" spans="1:7" x14ac:dyDescent="0.35">
      <c r="A40">
        <v>53</v>
      </c>
      <c r="B40" t="s">
        <v>4</v>
      </c>
      <c r="C40" t="s">
        <v>2</v>
      </c>
      <c r="D40" t="s">
        <v>115</v>
      </c>
      <c r="E40" t="s">
        <v>9</v>
      </c>
      <c r="F40" s="1">
        <v>1.1299435028248499</v>
      </c>
      <c r="G40" s="1"/>
    </row>
    <row r="41" spans="1:7" x14ac:dyDescent="0.35">
      <c r="A41">
        <v>55</v>
      </c>
      <c r="B41" t="s">
        <v>4</v>
      </c>
      <c r="C41" t="s">
        <v>2</v>
      </c>
      <c r="D41" t="s">
        <v>115</v>
      </c>
      <c r="E41" t="s">
        <v>9</v>
      </c>
      <c r="F41" s="1">
        <v>0.56497175141242895</v>
      </c>
      <c r="G41" s="1"/>
    </row>
    <row r="42" spans="1:7" x14ac:dyDescent="0.35">
      <c r="A42">
        <v>55</v>
      </c>
      <c r="B42" t="s">
        <v>4</v>
      </c>
      <c r="C42" t="s">
        <v>2</v>
      </c>
      <c r="D42" t="s">
        <v>115</v>
      </c>
      <c r="E42" t="s">
        <v>9</v>
      </c>
      <c r="F42" s="1">
        <v>1.1299435028248499</v>
      </c>
      <c r="G42" s="1"/>
    </row>
    <row r="43" spans="1:7" x14ac:dyDescent="0.35">
      <c r="A43">
        <v>53</v>
      </c>
      <c r="B43" t="s">
        <v>4</v>
      </c>
      <c r="C43" t="s">
        <v>2</v>
      </c>
      <c r="D43" t="s">
        <v>116</v>
      </c>
      <c r="E43" t="s">
        <v>9</v>
      </c>
      <c r="F43" s="1">
        <v>0.56497175141242895</v>
      </c>
      <c r="G43" s="1"/>
    </row>
    <row r="44" spans="1:7" x14ac:dyDescent="0.35">
      <c r="A44">
        <v>5</v>
      </c>
      <c r="B44" t="s">
        <v>6</v>
      </c>
      <c r="C44" t="s">
        <v>8</v>
      </c>
      <c r="D44" t="s">
        <v>114</v>
      </c>
      <c r="E44" t="s">
        <v>10</v>
      </c>
      <c r="F44" s="1">
        <v>1.92307692307692</v>
      </c>
      <c r="G44" s="1"/>
    </row>
    <row r="45" spans="1:7" x14ac:dyDescent="0.35">
      <c r="A45">
        <v>5</v>
      </c>
      <c r="B45" t="s">
        <v>6</v>
      </c>
      <c r="C45" t="s">
        <v>8</v>
      </c>
      <c r="D45" t="s">
        <v>114</v>
      </c>
      <c r="E45" t="s">
        <v>10</v>
      </c>
      <c r="F45" s="1">
        <v>15.3846153846153</v>
      </c>
      <c r="G45" s="1"/>
    </row>
    <row r="46" spans="1:7" x14ac:dyDescent="0.35">
      <c r="A46">
        <v>26</v>
      </c>
      <c r="B46" t="s">
        <v>6</v>
      </c>
      <c r="C46" t="s">
        <v>7</v>
      </c>
      <c r="D46" t="s">
        <v>114</v>
      </c>
      <c r="E46" t="s">
        <v>10</v>
      </c>
      <c r="F46" s="1">
        <v>1.92307692307692</v>
      </c>
      <c r="G46" s="1"/>
    </row>
    <row r="47" spans="1:7" x14ac:dyDescent="0.35">
      <c r="A47">
        <v>26</v>
      </c>
      <c r="B47" t="s">
        <v>6</v>
      </c>
      <c r="C47" t="s">
        <v>7</v>
      </c>
      <c r="D47" t="s">
        <v>114</v>
      </c>
      <c r="E47" t="s">
        <v>10</v>
      </c>
      <c r="F47" s="1">
        <v>11.538461538461499</v>
      </c>
      <c r="G47" s="1"/>
    </row>
    <row r="48" spans="1:7" x14ac:dyDescent="0.35">
      <c r="A48">
        <v>26</v>
      </c>
      <c r="B48" t="s">
        <v>6</v>
      </c>
      <c r="C48" t="s">
        <v>7</v>
      </c>
      <c r="D48" t="s">
        <v>114</v>
      </c>
      <c r="E48" t="s">
        <v>10</v>
      </c>
      <c r="F48" s="1">
        <v>9.6153846153846096</v>
      </c>
      <c r="G48" s="1"/>
    </row>
    <row r="49" spans="1:7" x14ac:dyDescent="0.35">
      <c r="A49">
        <v>42</v>
      </c>
      <c r="B49" t="s">
        <v>6</v>
      </c>
      <c r="C49" t="s">
        <v>7</v>
      </c>
      <c r="D49" t="s">
        <v>114</v>
      </c>
      <c r="E49" t="s">
        <v>10</v>
      </c>
      <c r="F49" s="1">
        <v>3.84615384615384</v>
      </c>
      <c r="G49" s="1"/>
    </row>
    <row r="50" spans="1:7" x14ac:dyDescent="0.35">
      <c r="A50">
        <v>42</v>
      </c>
      <c r="B50" t="s">
        <v>6</v>
      </c>
      <c r="C50" t="s">
        <v>7</v>
      </c>
      <c r="D50" t="s">
        <v>114</v>
      </c>
      <c r="E50" t="s">
        <v>10</v>
      </c>
      <c r="F50" s="1">
        <v>1.92307692307692</v>
      </c>
      <c r="G50" s="1"/>
    </row>
    <row r="51" spans="1:7" x14ac:dyDescent="0.35">
      <c r="A51">
        <v>53</v>
      </c>
      <c r="B51" t="s">
        <v>6</v>
      </c>
      <c r="C51" t="s">
        <v>2</v>
      </c>
      <c r="D51" t="s">
        <v>114</v>
      </c>
      <c r="E51" t="s">
        <v>10</v>
      </c>
      <c r="F51" s="1">
        <v>1.92307692307692</v>
      </c>
      <c r="G51" s="1"/>
    </row>
    <row r="52" spans="1:7" x14ac:dyDescent="0.35">
      <c r="A52">
        <v>53</v>
      </c>
      <c r="B52" t="s">
        <v>6</v>
      </c>
      <c r="C52" t="s">
        <v>2</v>
      </c>
      <c r="D52" t="s">
        <v>114</v>
      </c>
      <c r="E52" t="s">
        <v>10</v>
      </c>
      <c r="F52" s="1">
        <v>1.92307692307692</v>
      </c>
      <c r="G52" s="1"/>
    </row>
    <row r="53" spans="1:7" x14ac:dyDescent="0.35">
      <c r="A53">
        <v>55</v>
      </c>
      <c r="B53" t="s">
        <v>6</v>
      </c>
      <c r="C53" t="s">
        <v>2</v>
      </c>
      <c r="D53" t="s">
        <v>114</v>
      </c>
      <c r="E53" t="s">
        <v>10</v>
      </c>
      <c r="F53" s="1">
        <v>5.7692307692307603</v>
      </c>
      <c r="G53" s="1"/>
    </row>
    <row r="54" spans="1:7" x14ac:dyDescent="0.35">
      <c r="A54">
        <v>55</v>
      </c>
      <c r="B54" t="s">
        <v>6</v>
      </c>
      <c r="C54" t="s">
        <v>2</v>
      </c>
      <c r="D54" t="s">
        <v>114</v>
      </c>
      <c r="E54" t="s">
        <v>10</v>
      </c>
      <c r="F54" s="1">
        <v>1.92307692307692</v>
      </c>
      <c r="G54" s="1"/>
    </row>
    <row r="55" spans="1:7" x14ac:dyDescent="0.35">
      <c r="A55">
        <v>5</v>
      </c>
      <c r="B55" t="s">
        <v>6</v>
      </c>
      <c r="C55" t="s">
        <v>8</v>
      </c>
      <c r="D55" t="s">
        <v>145</v>
      </c>
      <c r="E55" t="s">
        <v>10</v>
      </c>
      <c r="F55" s="1">
        <v>1.92307692307692</v>
      </c>
      <c r="G55" s="1"/>
    </row>
    <row r="56" spans="1:7" x14ac:dyDescent="0.35">
      <c r="A56">
        <v>26</v>
      </c>
      <c r="B56" t="s">
        <v>6</v>
      </c>
      <c r="C56" t="s">
        <v>7</v>
      </c>
      <c r="D56" t="s">
        <v>145</v>
      </c>
      <c r="E56" t="s">
        <v>10</v>
      </c>
      <c r="F56" s="1">
        <v>1.92307692307692</v>
      </c>
      <c r="G56" s="1"/>
    </row>
    <row r="57" spans="1:7" x14ac:dyDescent="0.35">
      <c r="A57">
        <v>42</v>
      </c>
      <c r="B57" t="s">
        <v>6</v>
      </c>
      <c r="C57" t="s">
        <v>7</v>
      </c>
      <c r="D57" t="s">
        <v>145</v>
      </c>
      <c r="E57" t="s">
        <v>10</v>
      </c>
      <c r="F57" s="1">
        <v>3.84615384615384</v>
      </c>
      <c r="G57" s="1"/>
    </row>
    <row r="58" spans="1:7" x14ac:dyDescent="0.35">
      <c r="A58">
        <v>55</v>
      </c>
      <c r="B58" t="s">
        <v>6</v>
      </c>
      <c r="C58" t="s">
        <v>2</v>
      </c>
      <c r="D58" t="s">
        <v>145</v>
      </c>
      <c r="E58" t="s">
        <v>10</v>
      </c>
      <c r="F58" s="1">
        <v>1.92307692307692</v>
      </c>
      <c r="G58" s="1"/>
    </row>
    <row r="59" spans="1:7" x14ac:dyDescent="0.35">
      <c r="A59">
        <v>55</v>
      </c>
      <c r="B59" t="s">
        <v>6</v>
      </c>
      <c r="C59" t="s">
        <v>2</v>
      </c>
      <c r="D59" t="s">
        <v>145</v>
      </c>
      <c r="E59" t="s">
        <v>10</v>
      </c>
      <c r="F59" s="1">
        <v>1.92307692307692</v>
      </c>
      <c r="G59" s="1"/>
    </row>
    <row r="60" spans="1:7" x14ac:dyDescent="0.35">
      <c r="A60">
        <v>5</v>
      </c>
      <c r="B60" t="s">
        <v>6</v>
      </c>
      <c r="C60" t="s">
        <v>8</v>
      </c>
      <c r="D60" t="s">
        <v>117</v>
      </c>
      <c r="E60" t="s">
        <v>10</v>
      </c>
      <c r="F60" s="1">
        <v>1.92307692307692</v>
      </c>
      <c r="G60" s="1"/>
    </row>
    <row r="61" spans="1:7" x14ac:dyDescent="0.35">
      <c r="A61">
        <v>5</v>
      </c>
      <c r="B61" t="s">
        <v>6</v>
      </c>
      <c r="C61" t="s">
        <v>8</v>
      </c>
      <c r="D61" t="s">
        <v>117</v>
      </c>
      <c r="E61" t="s">
        <v>10</v>
      </c>
      <c r="F61" s="1">
        <v>1.92307692307692</v>
      </c>
      <c r="G61" s="1"/>
    </row>
    <row r="62" spans="1:7" x14ac:dyDescent="0.35">
      <c r="A62">
        <v>26</v>
      </c>
      <c r="B62" t="s">
        <v>6</v>
      </c>
      <c r="C62" t="s">
        <v>7</v>
      </c>
      <c r="D62" t="s">
        <v>117</v>
      </c>
      <c r="E62" t="s">
        <v>10</v>
      </c>
      <c r="F62" s="1">
        <v>1.92307692307692</v>
      </c>
      <c r="G62" s="1"/>
    </row>
    <row r="63" spans="1:7" x14ac:dyDescent="0.35">
      <c r="A63">
        <v>26</v>
      </c>
      <c r="B63" t="s">
        <v>6</v>
      </c>
      <c r="C63" t="s">
        <v>7</v>
      </c>
      <c r="D63" t="s">
        <v>117</v>
      </c>
      <c r="E63" t="s">
        <v>10</v>
      </c>
      <c r="F63" s="1">
        <v>13.4615384615384</v>
      </c>
      <c r="G63" s="1"/>
    </row>
    <row r="64" spans="1:7" x14ac:dyDescent="0.35">
      <c r="A64">
        <v>55</v>
      </c>
      <c r="B64" t="s">
        <v>6</v>
      </c>
      <c r="C64" t="s">
        <v>2</v>
      </c>
      <c r="D64" t="s">
        <v>117</v>
      </c>
      <c r="E64" t="s">
        <v>10</v>
      </c>
      <c r="F64" s="1">
        <v>3.84615384615384</v>
      </c>
      <c r="G64" s="1"/>
    </row>
    <row r="65" spans="1:7" x14ac:dyDescent="0.35">
      <c r="A65">
        <v>26</v>
      </c>
      <c r="B65" t="s">
        <v>6</v>
      </c>
      <c r="C65" t="s">
        <v>7</v>
      </c>
      <c r="D65" t="s">
        <v>115</v>
      </c>
      <c r="E65" t="s">
        <v>10</v>
      </c>
      <c r="F65" s="1">
        <v>1.92307692307692</v>
      </c>
      <c r="G65" s="1"/>
    </row>
    <row r="66" spans="1:7" x14ac:dyDescent="0.35">
      <c r="A66">
        <v>55</v>
      </c>
      <c r="B66" t="s">
        <v>6</v>
      </c>
      <c r="C66" t="s">
        <v>2</v>
      </c>
      <c r="D66" t="s">
        <v>115</v>
      </c>
      <c r="E66" t="s">
        <v>10</v>
      </c>
      <c r="F66" s="1">
        <v>1.92307692307692</v>
      </c>
      <c r="G66" s="1"/>
    </row>
    <row r="67" spans="1:7" x14ac:dyDescent="0.35">
      <c r="A67">
        <v>5</v>
      </c>
      <c r="B67" t="s">
        <v>6</v>
      </c>
      <c r="C67" t="s">
        <v>8</v>
      </c>
      <c r="D67" t="s">
        <v>116</v>
      </c>
      <c r="E67" t="s">
        <v>10</v>
      </c>
      <c r="F67" s="1">
        <v>3.84615384615384</v>
      </c>
      <c r="G6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3F4A-CF96-417D-8008-F3853B6DBF3C}">
  <dimension ref="A1:F121"/>
  <sheetViews>
    <sheetView workbookViewId="0">
      <selection activeCell="M19" sqref="M19"/>
    </sheetView>
  </sheetViews>
  <sheetFormatPr defaultRowHeight="14.5" x14ac:dyDescent="0.35"/>
  <cols>
    <col min="3" max="3" width="16.26953125" bestFit="1" customWidth="1"/>
    <col min="4" max="4" width="41.26953125" bestFit="1" customWidth="1"/>
  </cols>
  <sheetData>
    <row r="1" spans="1:6" x14ac:dyDescent="0.35">
      <c r="A1" t="s">
        <v>148</v>
      </c>
      <c r="B1" t="s">
        <v>12</v>
      </c>
      <c r="C1" t="s">
        <v>143</v>
      </c>
      <c r="D1" t="s">
        <v>142</v>
      </c>
      <c r="E1" t="s">
        <v>131</v>
      </c>
      <c r="F1" t="s">
        <v>134</v>
      </c>
    </row>
    <row r="2" spans="1:6" x14ac:dyDescent="0.35">
      <c r="A2" t="s">
        <v>2</v>
      </c>
      <c r="B2" t="s">
        <v>9</v>
      </c>
      <c r="C2" t="s">
        <v>96</v>
      </c>
      <c r="D2" t="s">
        <v>93</v>
      </c>
      <c r="E2" t="s">
        <v>1</v>
      </c>
      <c r="F2">
        <v>0</v>
      </c>
    </row>
    <row r="3" spans="1:6" x14ac:dyDescent="0.35">
      <c r="A3" t="s">
        <v>2</v>
      </c>
      <c r="B3" t="s">
        <v>9</v>
      </c>
      <c r="C3" t="s">
        <v>96</v>
      </c>
      <c r="D3" t="s">
        <v>93</v>
      </c>
      <c r="E3" t="s">
        <v>95</v>
      </c>
      <c r="F3">
        <v>54</v>
      </c>
    </row>
    <row r="4" spans="1:6" x14ac:dyDescent="0.35">
      <c r="A4" t="s">
        <v>2</v>
      </c>
      <c r="B4" t="s">
        <v>10</v>
      </c>
      <c r="C4" t="s">
        <v>96</v>
      </c>
      <c r="D4" t="s">
        <v>93</v>
      </c>
      <c r="E4" t="s">
        <v>1</v>
      </c>
      <c r="F4">
        <v>2</v>
      </c>
    </row>
    <row r="5" spans="1:6" x14ac:dyDescent="0.35">
      <c r="A5" t="s">
        <v>2</v>
      </c>
      <c r="B5" t="s">
        <v>10</v>
      </c>
      <c r="C5" t="s">
        <v>96</v>
      </c>
      <c r="D5" t="s">
        <v>93</v>
      </c>
      <c r="E5" t="s">
        <v>95</v>
      </c>
      <c r="F5">
        <v>9</v>
      </c>
    </row>
    <row r="6" spans="1:6" x14ac:dyDescent="0.35">
      <c r="A6" t="s">
        <v>7</v>
      </c>
      <c r="B6" t="s">
        <v>9</v>
      </c>
      <c r="C6" t="s">
        <v>96</v>
      </c>
      <c r="D6" t="s">
        <v>93</v>
      </c>
      <c r="E6" t="s">
        <v>1</v>
      </c>
      <c r="F6">
        <v>10</v>
      </c>
    </row>
    <row r="7" spans="1:6" x14ac:dyDescent="0.35">
      <c r="A7" t="s">
        <v>7</v>
      </c>
      <c r="B7" t="s">
        <v>9</v>
      </c>
      <c r="C7" t="s">
        <v>96</v>
      </c>
      <c r="D7" t="s">
        <v>93</v>
      </c>
      <c r="E7" t="s">
        <v>95</v>
      </c>
      <c r="F7">
        <v>67</v>
      </c>
    </row>
    <row r="8" spans="1:6" x14ac:dyDescent="0.35">
      <c r="A8" t="s">
        <v>7</v>
      </c>
      <c r="B8" t="s">
        <v>10</v>
      </c>
      <c r="C8" t="s">
        <v>96</v>
      </c>
      <c r="D8" t="s">
        <v>93</v>
      </c>
      <c r="E8" t="s">
        <v>1</v>
      </c>
      <c r="F8">
        <v>0</v>
      </c>
    </row>
    <row r="9" spans="1:6" x14ac:dyDescent="0.35">
      <c r="A9" t="s">
        <v>7</v>
      </c>
      <c r="B9" t="s">
        <v>10</v>
      </c>
      <c r="C9" t="s">
        <v>96</v>
      </c>
      <c r="D9" t="s">
        <v>93</v>
      </c>
      <c r="E9" t="s">
        <v>95</v>
      </c>
      <c r="F9">
        <v>25</v>
      </c>
    </row>
    <row r="10" spans="1:6" x14ac:dyDescent="0.35">
      <c r="A10" t="s">
        <v>8</v>
      </c>
      <c r="B10" t="s">
        <v>9</v>
      </c>
      <c r="C10" t="s">
        <v>96</v>
      </c>
      <c r="D10" t="s">
        <v>93</v>
      </c>
      <c r="E10" t="s">
        <v>1</v>
      </c>
      <c r="F10">
        <v>3</v>
      </c>
    </row>
    <row r="11" spans="1:6" x14ac:dyDescent="0.35">
      <c r="A11" t="s">
        <v>8</v>
      </c>
      <c r="B11" t="s">
        <v>9</v>
      </c>
      <c r="C11" t="s">
        <v>96</v>
      </c>
      <c r="D11" t="s">
        <v>93</v>
      </c>
      <c r="E11" t="s">
        <v>95</v>
      </c>
      <c r="F11">
        <v>43</v>
      </c>
    </row>
    <row r="12" spans="1:6" x14ac:dyDescent="0.35">
      <c r="A12" t="s">
        <v>8</v>
      </c>
      <c r="B12" t="s">
        <v>10</v>
      </c>
      <c r="C12" t="s">
        <v>96</v>
      </c>
      <c r="D12" t="s">
        <v>93</v>
      </c>
      <c r="E12" t="s">
        <v>1</v>
      </c>
      <c r="F12">
        <v>0</v>
      </c>
    </row>
    <row r="13" spans="1:6" x14ac:dyDescent="0.35">
      <c r="A13" t="s">
        <v>8</v>
      </c>
      <c r="B13" t="s">
        <v>10</v>
      </c>
      <c r="C13" t="s">
        <v>96</v>
      </c>
      <c r="D13" t="s">
        <v>93</v>
      </c>
      <c r="E13" t="s">
        <v>95</v>
      </c>
      <c r="F13">
        <v>14</v>
      </c>
    </row>
    <row r="14" spans="1:6" x14ac:dyDescent="0.35">
      <c r="A14" t="s">
        <v>2</v>
      </c>
      <c r="B14" t="s">
        <v>9</v>
      </c>
      <c r="C14" t="s">
        <v>125</v>
      </c>
      <c r="D14" t="s">
        <v>124</v>
      </c>
      <c r="E14" t="s">
        <v>1</v>
      </c>
      <c r="F14">
        <v>27</v>
      </c>
    </row>
    <row r="15" spans="1:6" x14ac:dyDescent="0.35">
      <c r="A15" t="s">
        <v>2</v>
      </c>
      <c r="B15" t="s">
        <v>9</v>
      </c>
      <c r="C15" t="s">
        <v>125</v>
      </c>
      <c r="D15" t="s">
        <v>124</v>
      </c>
      <c r="E15" t="s">
        <v>95</v>
      </c>
      <c r="F15">
        <v>27</v>
      </c>
    </row>
    <row r="16" spans="1:6" x14ac:dyDescent="0.35">
      <c r="A16" t="s">
        <v>2</v>
      </c>
      <c r="B16" t="s">
        <v>10</v>
      </c>
      <c r="C16" t="s">
        <v>125</v>
      </c>
      <c r="D16" t="s">
        <v>124</v>
      </c>
      <c r="E16" t="s">
        <v>1</v>
      </c>
      <c r="F16">
        <v>3</v>
      </c>
    </row>
    <row r="17" spans="1:6" x14ac:dyDescent="0.35">
      <c r="A17" t="s">
        <v>2</v>
      </c>
      <c r="B17" t="s">
        <v>10</v>
      </c>
      <c r="C17" t="s">
        <v>125</v>
      </c>
      <c r="D17" t="s">
        <v>124</v>
      </c>
      <c r="E17" t="s">
        <v>95</v>
      </c>
      <c r="F17">
        <v>8</v>
      </c>
    </row>
    <row r="18" spans="1:6" x14ac:dyDescent="0.35">
      <c r="A18" t="s">
        <v>7</v>
      </c>
      <c r="B18" t="s">
        <v>9</v>
      </c>
      <c r="C18" t="s">
        <v>125</v>
      </c>
      <c r="D18" t="s">
        <v>124</v>
      </c>
      <c r="E18" t="s">
        <v>1</v>
      </c>
      <c r="F18">
        <v>60</v>
      </c>
    </row>
    <row r="19" spans="1:6" x14ac:dyDescent="0.35">
      <c r="A19" t="s">
        <v>7</v>
      </c>
      <c r="B19" t="s">
        <v>9</v>
      </c>
      <c r="C19" t="s">
        <v>125</v>
      </c>
      <c r="D19" t="s">
        <v>124</v>
      </c>
      <c r="E19" t="s">
        <v>95</v>
      </c>
      <c r="F19">
        <v>17</v>
      </c>
    </row>
    <row r="20" spans="1:6" x14ac:dyDescent="0.35">
      <c r="A20" t="s">
        <v>7</v>
      </c>
      <c r="B20" t="s">
        <v>10</v>
      </c>
      <c r="C20" t="s">
        <v>125</v>
      </c>
      <c r="D20" t="s">
        <v>124</v>
      </c>
      <c r="E20" t="s">
        <v>1</v>
      </c>
      <c r="F20">
        <v>11</v>
      </c>
    </row>
    <row r="21" spans="1:6" x14ac:dyDescent="0.35">
      <c r="A21" t="s">
        <v>7</v>
      </c>
      <c r="B21" t="s">
        <v>10</v>
      </c>
      <c r="C21" t="s">
        <v>125</v>
      </c>
      <c r="D21" t="s">
        <v>124</v>
      </c>
      <c r="E21" t="s">
        <v>95</v>
      </c>
      <c r="F21">
        <v>16</v>
      </c>
    </row>
    <row r="22" spans="1:6" x14ac:dyDescent="0.35">
      <c r="A22" t="s">
        <v>8</v>
      </c>
      <c r="B22" t="s">
        <v>9</v>
      </c>
      <c r="C22" t="s">
        <v>125</v>
      </c>
      <c r="D22" t="s">
        <v>124</v>
      </c>
      <c r="E22" t="s">
        <v>1</v>
      </c>
      <c r="F22">
        <v>17</v>
      </c>
    </row>
    <row r="23" spans="1:6" x14ac:dyDescent="0.35">
      <c r="A23" t="s">
        <v>8</v>
      </c>
      <c r="B23" t="s">
        <v>9</v>
      </c>
      <c r="C23" t="s">
        <v>125</v>
      </c>
      <c r="D23" t="s">
        <v>124</v>
      </c>
      <c r="E23" t="s">
        <v>95</v>
      </c>
      <c r="F23">
        <v>29</v>
      </c>
    </row>
    <row r="24" spans="1:6" x14ac:dyDescent="0.35">
      <c r="A24" t="s">
        <v>8</v>
      </c>
      <c r="B24" t="s">
        <v>10</v>
      </c>
      <c r="C24" t="s">
        <v>125</v>
      </c>
      <c r="D24" t="s">
        <v>124</v>
      </c>
      <c r="E24" t="s">
        <v>1</v>
      </c>
      <c r="F24">
        <v>4</v>
      </c>
    </row>
    <row r="25" spans="1:6" x14ac:dyDescent="0.35">
      <c r="A25" t="s">
        <v>8</v>
      </c>
      <c r="B25" t="s">
        <v>10</v>
      </c>
      <c r="C25" t="s">
        <v>125</v>
      </c>
      <c r="D25" t="s">
        <v>124</v>
      </c>
      <c r="E25" t="s">
        <v>95</v>
      </c>
      <c r="F25">
        <v>10</v>
      </c>
    </row>
    <row r="26" spans="1:6" x14ac:dyDescent="0.35">
      <c r="A26" t="s">
        <v>2</v>
      </c>
      <c r="B26" t="s">
        <v>9</v>
      </c>
      <c r="C26" t="s">
        <v>123</v>
      </c>
      <c r="D26" t="s">
        <v>122</v>
      </c>
      <c r="E26" t="s">
        <v>1</v>
      </c>
      <c r="F26">
        <v>6</v>
      </c>
    </row>
    <row r="27" spans="1:6" x14ac:dyDescent="0.35">
      <c r="A27" t="s">
        <v>2</v>
      </c>
      <c r="B27" t="s">
        <v>9</v>
      </c>
      <c r="C27" t="s">
        <v>123</v>
      </c>
      <c r="D27" t="s">
        <v>122</v>
      </c>
      <c r="E27" t="s">
        <v>95</v>
      </c>
      <c r="F27">
        <v>48</v>
      </c>
    </row>
    <row r="28" spans="1:6" x14ac:dyDescent="0.35">
      <c r="A28" t="s">
        <v>2</v>
      </c>
      <c r="B28" t="s">
        <v>10</v>
      </c>
      <c r="C28" t="s">
        <v>123</v>
      </c>
      <c r="D28" t="s">
        <v>122</v>
      </c>
      <c r="E28" t="s">
        <v>1</v>
      </c>
      <c r="F28">
        <v>1</v>
      </c>
    </row>
    <row r="29" spans="1:6" x14ac:dyDescent="0.35">
      <c r="A29" t="s">
        <v>2</v>
      </c>
      <c r="B29" t="s">
        <v>10</v>
      </c>
      <c r="C29" t="s">
        <v>123</v>
      </c>
      <c r="D29" t="s">
        <v>122</v>
      </c>
      <c r="E29" t="s">
        <v>95</v>
      </c>
      <c r="F29">
        <v>10</v>
      </c>
    </row>
    <row r="30" spans="1:6" x14ac:dyDescent="0.35">
      <c r="A30" t="s">
        <v>7</v>
      </c>
      <c r="B30" t="s">
        <v>9</v>
      </c>
      <c r="C30" t="s">
        <v>123</v>
      </c>
      <c r="D30" t="s">
        <v>122</v>
      </c>
      <c r="E30" t="s">
        <v>1</v>
      </c>
      <c r="F30">
        <v>4</v>
      </c>
    </row>
    <row r="31" spans="1:6" x14ac:dyDescent="0.35">
      <c r="A31" t="s">
        <v>7</v>
      </c>
      <c r="B31" t="s">
        <v>9</v>
      </c>
      <c r="C31" t="s">
        <v>123</v>
      </c>
      <c r="D31" t="s">
        <v>122</v>
      </c>
      <c r="E31" t="s">
        <v>95</v>
      </c>
      <c r="F31">
        <v>73</v>
      </c>
    </row>
    <row r="32" spans="1:6" x14ac:dyDescent="0.35">
      <c r="A32" t="s">
        <v>7</v>
      </c>
      <c r="B32" t="s">
        <v>10</v>
      </c>
      <c r="C32" t="s">
        <v>123</v>
      </c>
      <c r="D32" t="s">
        <v>122</v>
      </c>
      <c r="E32" t="s">
        <v>1</v>
      </c>
      <c r="F32">
        <v>3</v>
      </c>
    </row>
    <row r="33" spans="1:6" x14ac:dyDescent="0.35">
      <c r="A33" t="s">
        <v>7</v>
      </c>
      <c r="B33" t="s">
        <v>10</v>
      </c>
      <c r="C33" t="s">
        <v>123</v>
      </c>
      <c r="D33" t="s">
        <v>122</v>
      </c>
      <c r="E33" t="s">
        <v>95</v>
      </c>
      <c r="F33">
        <v>24</v>
      </c>
    </row>
    <row r="34" spans="1:6" x14ac:dyDescent="0.35">
      <c r="A34" t="s">
        <v>8</v>
      </c>
      <c r="B34" t="s">
        <v>9</v>
      </c>
      <c r="C34" t="s">
        <v>123</v>
      </c>
      <c r="D34" t="s">
        <v>122</v>
      </c>
      <c r="E34" t="s">
        <v>1</v>
      </c>
      <c r="F34">
        <v>9</v>
      </c>
    </row>
    <row r="35" spans="1:6" x14ac:dyDescent="0.35">
      <c r="A35" t="s">
        <v>8</v>
      </c>
      <c r="B35" t="s">
        <v>9</v>
      </c>
      <c r="C35" t="s">
        <v>123</v>
      </c>
      <c r="D35" t="s">
        <v>122</v>
      </c>
      <c r="E35" t="s">
        <v>95</v>
      </c>
      <c r="F35">
        <v>37</v>
      </c>
    </row>
    <row r="36" spans="1:6" x14ac:dyDescent="0.35">
      <c r="A36" t="s">
        <v>8</v>
      </c>
      <c r="B36" t="s">
        <v>10</v>
      </c>
      <c r="C36" t="s">
        <v>123</v>
      </c>
      <c r="D36" t="s">
        <v>122</v>
      </c>
      <c r="E36" t="s">
        <v>1</v>
      </c>
      <c r="F36">
        <v>2</v>
      </c>
    </row>
    <row r="37" spans="1:6" x14ac:dyDescent="0.35">
      <c r="A37" t="s">
        <v>8</v>
      </c>
      <c r="B37" t="s">
        <v>10</v>
      </c>
      <c r="C37" t="s">
        <v>123</v>
      </c>
      <c r="D37" t="s">
        <v>122</v>
      </c>
      <c r="E37" t="s">
        <v>95</v>
      </c>
      <c r="F37">
        <v>12</v>
      </c>
    </row>
    <row r="38" spans="1:6" x14ac:dyDescent="0.35">
      <c r="A38" t="s">
        <v>2</v>
      </c>
      <c r="B38" t="s">
        <v>9</v>
      </c>
      <c r="C38" t="s">
        <v>121</v>
      </c>
      <c r="D38" t="s">
        <v>120</v>
      </c>
      <c r="E38" t="s">
        <v>1</v>
      </c>
      <c r="F38">
        <v>14</v>
      </c>
    </row>
    <row r="39" spans="1:6" x14ac:dyDescent="0.35">
      <c r="A39" t="s">
        <v>2</v>
      </c>
      <c r="B39" t="s">
        <v>9</v>
      </c>
      <c r="C39" t="s">
        <v>121</v>
      </c>
      <c r="D39" t="s">
        <v>120</v>
      </c>
      <c r="E39" t="s">
        <v>95</v>
      </c>
      <c r="F39">
        <v>40</v>
      </c>
    </row>
    <row r="40" spans="1:6" x14ac:dyDescent="0.35">
      <c r="A40" t="s">
        <v>2</v>
      </c>
      <c r="B40" t="s">
        <v>10</v>
      </c>
      <c r="C40" t="s">
        <v>121</v>
      </c>
      <c r="D40" t="s">
        <v>120</v>
      </c>
      <c r="E40" t="s">
        <v>1</v>
      </c>
      <c r="F40">
        <v>10</v>
      </c>
    </row>
    <row r="41" spans="1:6" x14ac:dyDescent="0.35">
      <c r="A41" t="s">
        <v>2</v>
      </c>
      <c r="B41" t="s">
        <v>10</v>
      </c>
      <c r="C41" t="s">
        <v>121</v>
      </c>
      <c r="D41" t="s">
        <v>120</v>
      </c>
      <c r="E41" t="s">
        <v>95</v>
      </c>
      <c r="F41">
        <v>1</v>
      </c>
    </row>
    <row r="42" spans="1:6" x14ac:dyDescent="0.35">
      <c r="A42" t="s">
        <v>7</v>
      </c>
      <c r="B42" t="s">
        <v>9</v>
      </c>
      <c r="C42" t="s">
        <v>121</v>
      </c>
      <c r="D42" t="s">
        <v>120</v>
      </c>
      <c r="E42" t="s">
        <v>1</v>
      </c>
      <c r="F42">
        <v>4</v>
      </c>
    </row>
    <row r="43" spans="1:6" x14ac:dyDescent="0.35">
      <c r="A43" t="s">
        <v>7</v>
      </c>
      <c r="B43" t="s">
        <v>9</v>
      </c>
      <c r="C43" t="s">
        <v>121</v>
      </c>
      <c r="D43" t="s">
        <v>120</v>
      </c>
      <c r="E43" t="s">
        <v>95</v>
      </c>
      <c r="F43">
        <v>73</v>
      </c>
    </row>
    <row r="44" spans="1:6" x14ac:dyDescent="0.35">
      <c r="A44" t="s">
        <v>7</v>
      </c>
      <c r="B44" t="s">
        <v>10</v>
      </c>
      <c r="C44" t="s">
        <v>121</v>
      </c>
      <c r="D44" t="s">
        <v>120</v>
      </c>
      <c r="E44" t="s">
        <v>1</v>
      </c>
      <c r="F44">
        <v>4</v>
      </c>
    </row>
    <row r="45" spans="1:6" x14ac:dyDescent="0.35">
      <c r="A45" t="s">
        <v>7</v>
      </c>
      <c r="B45" t="s">
        <v>10</v>
      </c>
      <c r="C45" t="s">
        <v>121</v>
      </c>
      <c r="D45" t="s">
        <v>120</v>
      </c>
      <c r="E45" t="s">
        <v>95</v>
      </c>
      <c r="F45">
        <v>23</v>
      </c>
    </row>
    <row r="46" spans="1:6" x14ac:dyDescent="0.35">
      <c r="A46" t="s">
        <v>8</v>
      </c>
      <c r="B46" t="s">
        <v>9</v>
      </c>
      <c r="C46" t="s">
        <v>121</v>
      </c>
      <c r="D46" t="s">
        <v>120</v>
      </c>
      <c r="E46" t="s">
        <v>1</v>
      </c>
      <c r="F46">
        <v>14</v>
      </c>
    </row>
    <row r="47" spans="1:6" x14ac:dyDescent="0.35">
      <c r="A47" t="s">
        <v>8</v>
      </c>
      <c r="B47" t="s">
        <v>9</v>
      </c>
      <c r="C47" t="s">
        <v>121</v>
      </c>
      <c r="D47" t="s">
        <v>120</v>
      </c>
      <c r="E47" t="s">
        <v>95</v>
      </c>
      <c r="F47">
        <v>32</v>
      </c>
    </row>
    <row r="48" spans="1:6" x14ac:dyDescent="0.35">
      <c r="A48" t="s">
        <v>8</v>
      </c>
      <c r="B48" t="s">
        <v>10</v>
      </c>
      <c r="C48" t="s">
        <v>121</v>
      </c>
      <c r="D48" t="s">
        <v>120</v>
      </c>
      <c r="E48" t="s">
        <v>1</v>
      </c>
      <c r="F48">
        <v>6</v>
      </c>
    </row>
    <row r="49" spans="1:6" x14ac:dyDescent="0.35">
      <c r="A49" t="s">
        <v>8</v>
      </c>
      <c r="B49" t="s">
        <v>10</v>
      </c>
      <c r="C49" t="s">
        <v>121</v>
      </c>
      <c r="D49" t="s">
        <v>120</v>
      </c>
      <c r="E49" t="s">
        <v>95</v>
      </c>
      <c r="F49">
        <v>8</v>
      </c>
    </row>
    <row r="50" spans="1:6" x14ac:dyDescent="0.35">
      <c r="A50" t="s">
        <v>2</v>
      </c>
      <c r="B50" t="s">
        <v>9</v>
      </c>
      <c r="C50" t="s">
        <v>60</v>
      </c>
      <c r="D50" t="s">
        <v>107</v>
      </c>
      <c r="E50" t="s">
        <v>1</v>
      </c>
      <c r="F50">
        <v>16</v>
      </c>
    </row>
    <row r="51" spans="1:6" x14ac:dyDescent="0.35">
      <c r="A51" t="s">
        <v>2</v>
      </c>
      <c r="B51" t="s">
        <v>9</v>
      </c>
      <c r="C51" t="s">
        <v>60</v>
      </c>
      <c r="D51" t="s">
        <v>107</v>
      </c>
      <c r="E51" t="s">
        <v>95</v>
      </c>
      <c r="F51">
        <v>38</v>
      </c>
    </row>
    <row r="52" spans="1:6" x14ac:dyDescent="0.35">
      <c r="A52" t="s">
        <v>2</v>
      </c>
      <c r="B52" t="s">
        <v>10</v>
      </c>
      <c r="C52" t="s">
        <v>60</v>
      </c>
      <c r="D52" t="s">
        <v>107</v>
      </c>
      <c r="E52" t="s">
        <v>1</v>
      </c>
      <c r="F52">
        <v>3</v>
      </c>
    </row>
    <row r="53" spans="1:6" x14ac:dyDescent="0.35">
      <c r="A53" t="s">
        <v>2</v>
      </c>
      <c r="B53" t="s">
        <v>10</v>
      </c>
      <c r="C53" t="s">
        <v>60</v>
      </c>
      <c r="D53" t="s">
        <v>107</v>
      </c>
      <c r="E53" t="s">
        <v>95</v>
      </c>
      <c r="F53">
        <v>8</v>
      </c>
    </row>
    <row r="54" spans="1:6" x14ac:dyDescent="0.35">
      <c r="A54" t="s">
        <v>7</v>
      </c>
      <c r="B54" t="s">
        <v>9</v>
      </c>
      <c r="C54" t="s">
        <v>60</v>
      </c>
      <c r="D54" t="s">
        <v>107</v>
      </c>
      <c r="E54" t="s">
        <v>1</v>
      </c>
      <c r="F54">
        <v>9</v>
      </c>
    </row>
    <row r="55" spans="1:6" x14ac:dyDescent="0.35">
      <c r="A55" t="s">
        <v>7</v>
      </c>
      <c r="B55" t="s">
        <v>9</v>
      </c>
      <c r="C55" t="s">
        <v>60</v>
      </c>
      <c r="D55" t="s">
        <v>107</v>
      </c>
      <c r="E55" t="s">
        <v>95</v>
      </c>
      <c r="F55">
        <v>68</v>
      </c>
    </row>
    <row r="56" spans="1:6" x14ac:dyDescent="0.35">
      <c r="A56" t="s">
        <v>7</v>
      </c>
      <c r="B56" t="s">
        <v>10</v>
      </c>
      <c r="C56" t="s">
        <v>60</v>
      </c>
      <c r="D56" t="s">
        <v>107</v>
      </c>
      <c r="E56" t="s">
        <v>1</v>
      </c>
      <c r="F56">
        <v>4</v>
      </c>
    </row>
    <row r="57" spans="1:6" x14ac:dyDescent="0.35">
      <c r="A57" t="s">
        <v>7</v>
      </c>
      <c r="B57" t="s">
        <v>10</v>
      </c>
      <c r="C57" t="s">
        <v>60</v>
      </c>
      <c r="D57" t="s">
        <v>107</v>
      </c>
      <c r="E57" t="s">
        <v>95</v>
      </c>
      <c r="F57">
        <v>23</v>
      </c>
    </row>
    <row r="58" spans="1:6" x14ac:dyDescent="0.35">
      <c r="A58" t="s">
        <v>8</v>
      </c>
      <c r="B58" t="s">
        <v>9</v>
      </c>
      <c r="C58" t="s">
        <v>60</v>
      </c>
      <c r="D58" t="s">
        <v>107</v>
      </c>
      <c r="E58" t="s">
        <v>1</v>
      </c>
      <c r="F58">
        <v>21</v>
      </c>
    </row>
    <row r="59" spans="1:6" x14ac:dyDescent="0.35">
      <c r="A59" t="s">
        <v>8</v>
      </c>
      <c r="B59" t="s">
        <v>9</v>
      </c>
      <c r="C59" t="s">
        <v>60</v>
      </c>
      <c r="D59" t="s">
        <v>107</v>
      </c>
      <c r="E59" t="s">
        <v>95</v>
      </c>
      <c r="F59">
        <v>25</v>
      </c>
    </row>
    <row r="60" spans="1:6" x14ac:dyDescent="0.35">
      <c r="A60" t="s">
        <v>8</v>
      </c>
      <c r="B60" t="s">
        <v>10</v>
      </c>
      <c r="C60" t="s">
        <v>60</v>
      </c>
      <c r="D60" t="s">
        <v>107</v>
      </c>
      <c r="E60" t="s">
        <v>1</v>
      </c>
      <c r="F60">
        <v>2</v>
      </c>
    </row>
    <row r="61" spans="1:6" x14ac:dyDescent="0.35">
      <c r="A61" t="s">
        <v>8</v>
      </c>
      <c r="B61" t="s">
        <v>10</v>
      </c>
      <c r="C61" t="s">
        <v>60</v>
      </c>
      <c r="D61" t="s">
        <v>107</v>
      </c>
      <c r="E61" t="s">
        <v>95</v>
      </c>
      <c r="F61">
        <v>12</v>
      </c>
    </row>
    <row r="62" spans="1:6" x14ac:dyDescent="0.35">
      <c r="A62" t="s">
        <v>2</v>
      </c>
      <c r="B62" t="s">
        <v>9</v>
      </c>
      <c r="C62" t="s">
        <v>108</v>
      </c>
      <c r="D62" t="s">
        <v>126</v>
      </c>
      <c r="E62" t="s">
        <v>1</v>
      </c>
      <c r="F62">
        <v>14</v>
      </c>
    </row>
    <row r="63" spans="1:6" x14ac:dyDescent="0.35">
      <c r="A63" t="s">
        <v>2</v>
      </c>
      <c r="B63" t="s">
        <v>9</v>
      </c>
      <c r="C63" t="s">
        <v>108</v>
      </c>
      <c r="D63" t="s">
        <v>126</v>
      </c>
      <c r="E63" t="s">
        <v>95</v>
      </c>
      <c r="F63">
        <v>40</v>
      </c>
    </row>
    <row r="64" spans="1:6" x14ac:dyDescent="0.35">
      <c r="A64" t="s">
        <v>2</v>
      </c>
      <c r="B64" t="s">
        <v>10</v>
      </c>
      <c r="C64" t="s">
        <v>108</v>
      </c>
      <c r="D64" t="s">
        <v>126</v>
      </c>
      <c r="E64" t="s">
        <v>1</v>
      </c>
      <c r="F64">
        <v>4</v>
      </c>
    </row>
    <row r="65" spans="1:6" x14ac:dyDescent="0.35">
      <c r="A65" t="s">
        <v>2</v>
      </c>
      <c r="B65" t="s">
        <v>10</v>
      </c>
      <c r="C65" t="s">
        <v>108</v>
      </c>
      <c r="D65" t="s">
        <v>126</v>
      </c>
      <c r="E65" t="s">
        <v>95</v>
      </c>
      <c r="F65">
        <v>7</v>
      </c>
    </row>
    <row r="66" spans="1:6" x14ac:dyDescent="0.35">
      <c r="A66" t="s">
        <v>7</v>
      </c>
      <c r="B66" t="s">
        <v>9</v>
      </c>
      <c r="C66" t="s">
        <v>108</v>
      </c>
      <c r="D66" t="s">
        <v>126</v>
      </c>
      <c r="E66" t="s">
        <v>1</v>
      </c>
      <c r="F66">
        <v>43</v>
      </c>
    </row>
    <row r="67" spans="1:6" x14ac:dyDescent="0.35">
      <c r="A67" t="s">
        <v>7</v>
      </c>
      <c r="B67" t="s">
        <v>9</v>
      </c>
      <c r="C67" t="s">
        <v>108</v>
      </c>
      <c r="D67" t="s">
        <v>126</v>
      </c>
      <c r="E67" t="s">
        <v>95</v>
      </c>
      <c r="F67">
        <v>34</v>
      </c>
    </row>
    <row r="68" spans="1:6" x14ac:dyDescent="0.35">
      <c r="A68" t="s">
        <v>7</v>
      </c>
      <c r="B68" t="s">
        <v>10</v>
      </c>
      <c r="C68" t="s">
        <v>108</v>
      </c>
      <c r="D68" t="s">
        <v>126</v>
      </c>
      <c r="E68" t="s">
        <v>1</v>
      </c>
      <c r="F68">
        <v>3</v>
      </c>
    </row>
    <row r="69" spans="1:6" x14ac:dyDescent="0.35">
      <c r="A69" t="s">
        <v>7</v>
      </c>
      <c r="B69" t="s">
        <v>10</v>
      </c>
      <c r="C69" t="s">
        <v>108</v>
      </c>
      <c r="D69" t="s">
        <v>126</v>
      </c>
      <c r="E69" t="s">
        <v>95</v>
      </c>
      <c r="F69">
        <v>24</v>
      </c>
    </row>
    <row r="70" spans="1:6" x14ac:dyDescent="0.35">
      <c r="A70" t="s">
        <v>8</v>
      </c>
      <c r="B70" t="s">
        <v>9</v>
      </c>
      <c r="C70" t="s">
        <v>108</v>
      </c>
      <c r="D70" t="s">
        <v>126</v>
      </c>
      <c r="E70" t="s">
        <v>1</v>
      </c>
      <c r="F70">
        <v>9</v>
      </c>
    </row>
    <row r="71" spans="1:6" x14ac:dyDescent="0.35">
      <c r="A71" t="s">
        <v>8</v>
      </c>
      <c r="B71" t="s">
        <v>9</v>
      </c>
      <c r="C71" t="s">
        <v>108</v>
      </c>
      <c r="D71" t="s">
        <v>126</v>
      </c>
      <c r="E71" t="s">
        <v>95</v>
      </c>
      <c r="F71">
        <v>37</v>
      </c>
    </row>
    <row r="72" spans="1:6" x14ac:dyDescent="0.35">
      <c r="A72" t="s">
        <v>8</v>
      </c>
      <c r="B72" t="s">
        <v>10</v>
      </c>
      <c r="C72" t="s">
        <v>108</v>
      </c>
      <c r="D72" t="s">
        <v>126</v>
      </c>
      <c r="E72" t="s">
        <v>1</v>
      </c>
      <c r="F72">
        <v>5</v>
      </c>
    </row>
    <row r="73" spans="1:6" x14ac:dyDescent="0.35">
      <c r="A73" t="s">
        <v>8</v>
      </c>
      <c r="B73" t="s">
        <v>10</v>
      </c>
      <c r="C73" t="s">
        <v>108</v>
      </c>
      <c r="D73" t="s">
        <v>126</v>
      </c>
      <c r="E73" t="s">
        <v>95</v>
      </c>
      <c r="F73">
        <v>9</v>
      </c>
    </row>
    <row r="74" spans="1:6" x14ac:dyDescent="0.35">
      <c r="A74" t="s">
        <v>2</v>
      </c>
      <c r="B74" t="s">
        <v>9</v>
      </c>
      <c r="C74" t="s">
        <v>109</v>
      </c>
      <c r="D74" t="s">
        <v>119</v>
      </c>
      <c r="E74" t="s">
        <v>1</v>
      </c>
      <c r="F74">
        <v>25</v>
      </c>
    </row>
    <row r="75" spans="1:6" x14ac:dyDescent="0.35">
      <c r="A75" t="s">
        <v>2</v>
      </c>
      <c r="B75" t="s">
        <v>9</v>
      </c>
      <c r="C75" t="s">
        <v>109</v>
      </c>
      <c r="D75" t="s">
        <v>119</v>
      </c>
      <c r="E75" t="s">
        <v>95</v>
      </c>
      <c r="F75">
        <v>29</v>
      </c>
    </row>
    <row r="76" spans="1:6" x14ac:dyDescent="0.35">
      <c r="A76" t="s">
        <v>2</v>
      </c>
      <c r="B76" t="s">
        <v>10</v>
      </c>
      <c r="C76" t="s">
        <v>109</v>
      </c>
      <c r="D76" t="s">
        <v>119</v>
      </c>
      <c r="E76" t="s">
        <v>1</v>
      </c>
      <c r="F76">
        <v>2</v>
      </c>
    </row>
    <row r="77" spans="1:6" x14ac:dyDescent="0.35">
      <c r="A77" t="s">
        <v>2</v>
      </c>
      <c r="B77" t="s">
        <v>10</v>
      </c>
      <c r="C77" t="s">
        <v>109</v>
      </c>
      <c r="D77" t="s">
        <v>119</v>
      </c>
      <c r="E77" t="s">
        <v>95</v>
      </c>
      <c r="F77">
        <v>9</v>
      </c>
    </row>
    <row r="78" spans="1:6" x14ac:dyDescent="0.35">
      <c r="A78" t="s">
        <v>7</v>
      </c>
      <c r="B78" t="s">
        <v>9</v>
      </c>
      <c r="C78" t="s">
        <v>109</v>
      </c>
      <c r="D78" t="s">
        <v>119</v>
      </c>
      <c r="E78" t="s">
        <v>1</v>
      </c>
      <c r="F78">
        <v>42</v>
      </c>
    </row>
    <row r="79" spans="1:6" x14ac:dyDescent="0.35">
      <c r="A79" t="s">
        <v>7</v>
      </c>
      <c r="B79" t="s">
        <v>9</v>
      </c>
      <c r="C79" t="s">
        <v>109</v>
      </c>
      <c r="D79" t="s">
        <v>119</v>
      </c>
      <c r="E79" t="s">
        <v>95</v>
      </c>
      <c r="F79">
        <v>35</v>
      </c>
    </row>
    <row r="80" spans="1:6" x14ac:dyDescent="0.35">
      <c r="A80" t="s">
        <v>7</v>
      </c>
      <c r="B80" t="s">
        <v>10</v>
      </c>
      <c r="C80" t="s">
        <v>109</v>
      </c>
      <c r="D80" t="s">
        <v>119</v>
      </c>
      <c r="E80" t="s">
        <v>1</v>
      </c>
      <c r="F80">
        <v>9</v>
      </c>
    </row>
    <row r="81" spans="1:6" x14ac:dyDescent="0.35">
      <c r="A81" t="s">
        <v>7</v>
      </c>
      <c r="B81" t="s">
        <v>10</v>
      </c>
      <c r="C81" t="s">
        <v>109</v>
      </c>
      <c r="D81" t="s">
        <v>119</v>
      </c>
      <c r="E81" t="s">
        <v>95</v>
      </c>
      <c r="F81">
        <v>18</v>
      </c>
    </row>
    <row r="82" spans="1:6" x14ac:dyDescent="0.35">
      <c r="A82" t="s">
        <v>8</v>
      </c>
      <c r="B82" t="s">
        <v>9</v>
      </c>
      <c r="C82" t="s">
        <v>109</v>
      </c>
      <c r="D82" t="s">
        <v>119</v>
      </c>
      <c r="E82" t="s">
        <v>1</v>
      </c>
      <c r="F82">
        <v>13</v>
      </c>
    </row>
    <row r="83" spans="1:6" x14ac:dyDescent="0.35">
      <c r="A83" t="s">
        <v>8</v>
      </c>
      <c r="B83" t="s">
        <v>9</v>
      </c>
      <c r="C83" t="s">
        <v>109</v>
      </c>
      <c r="D83" t="s">
        <v>119</v>
      </c>
      <c r="E83" t="s">
        <v>95</v>
      </c>
      <c r="F83">
        <v>33</v>
      </c>
    </row>
    <row r="84" spans="1:6" x14ac:dyDescent="0.35">
      <c r="A84" t="s">
        <v>8</v>
      </c>
      <c r="B84" t="s">
        <v>10</v>
      </c>
      <c r="C84" t="s">
        <v>109</v>
      </c>
      <c r="D84" t="s">
        <v>119</v>
      </c>
      <c r="E84" t="s">
        <v>1</v>
      </c>
      <c r="F84">
        <v>8</v>
      </c>
    </row>
    <row r="85" spans="1:6" x14ac:dyDescent="0.35">
      <c r="A85" t="s">
        <v>8</v>
      </c>
      <c r="B85" t="s">
        <v>10</v>
      </c>
      <c r="C85" t="s">
        <v>109</v>
      </c>
      <c r="D85" t="s">
        <v>119</v>
      </c>
      <c r="E85" t="s">
        <v>95</v>
      </c>
      <c r="F85">
        <v>6</v>
      </c>
    </row>
    <row r="86" spans="1:6" x14ac:dyDescent="0.35">
      <c r="A86" t="s">
        <v>2</v>
      </c>
      <c r="B86" t="s">
        <v>9</v>
      </c>
      <c r="C86" t="s">
        <v>110</v>
      </c>
      <c r="D86" t="s">
        <v>118</v>
      </c>
      <c r="E86" t="s">
        <v>1</v>
      </c>
      <c r="F86">
        <v>0</v>
      </c>
    </row>
    <row r="87" spans="1:6" x14ac:dyDescent="0.35">
      <c r="A87" t="s">
        <v>2</v>
      </c>
      <c r="B87" t="s">
        <v>9</v>
      </c>
      <c r="C87" t="s">
        <v>110</v>
      </c>
      <c r="D87" t="s">
        <v>118</v>
      </c>
      <c r="E87" t="s">
        <v>95</v>
      </c>
      <c r="F87">
        <v>54</v>
      </c>
    </row>
    <row r="88" spans="1:6" x14ac:dyDescent="0.35">
      <c r="A88" t="s">
        <v>2</v>
      </c>
      <c r="B88" t="s">
        <v>10</v>
      </c>
      <c r="C88" t="s">
        <v>110</v>
      </c>
      <c r="D88" t="s">
        <v>118</v>
      </c>
      <c r="E88" t="s">
        <v>1</v>
      </c>
      <c r="F88">
        <v>0</v>
      </c>
    </row>
    <row r="89" spans="1:6" x14ac:dyDescent="0.35">
      <c r="A89" t="s">
        <v>2</v>
      </c>
      <c r="B89" t="s">
        <v>10</v>
      </c>
      <c r="C89" t="s">
        <v>110</v>
      </c>
      <c r="D89" t="s">
        <v>118</v>
      </c>
      <c r="E89" t="s">
        <v>95</v>
      </c>
      <c r="F89">
        <v>11</v>
      </c>
    </row>
    <row r="90" spans="1:6" x14ac:dyDescent="0.35">
      <c r="A90" t="s">
        <v>7</v>
      </c>
      <c r="B90" t="s">
        <v>9</v>
      </c>
      <c r="C90" t="s">
        <v>110</v>
      </c>
      <c r="D90" t="s">
        <v>118</v>
      </c>
      <c r="E90" t="s">
        <v>1</v>
      </c>
      <c r="F90">
        <v>0</v>
      </c>
    </row>
    <row r="91" spans="1:6" x14ac:dyDescent="0.35">
      <c r="A91" t="s">
        <v>7</v>
      </c>
      <c r="B91" t="s">
        <v>9</v>
      </c>
      <c r="C91" t="s">
        <v>110</v>
      </c>
      <c r="D91" t="s">
        <v>118</v>
      </c>
      <c r="E91" t="s">
        <v>95</v>
      </c>
      <c r="F91">
        <v>77</v>
      </c>
    </row>
    <row r="92" spans="1:6" x14ac:dyDescent="0.35">
      <c r="A92" t="s">
        <v>7</v>
      </c>
      <c r="B92" t="s">
        <v>10</v>
      </c>
      <c r="C92" t="s">
        <v>110</v>
      </c>
      <c r="D92" t="s">
        <v>118</v>
      </c>
      <c r="E92" t="s">
        <v>1</v>
      </c>
      <c r="F92">
        <v>1</v>
      </c>
    </row>
    <row r="93" spans="1:6" x14ac:dyDescent="0.35">
      <c r="A93" t="s">
        <v>7</v>
      </c>
      <c r="B93" t="s">
        <v>10</v>
      </c>
      <c r="C93" t="s">
        <v>110</v>
      </c>
      <c r="D93" t="s">
        <v>118</v>
      </c>
      <c r="E93" t="s">
        <v>95</v>
      </c>
      <c r="F93">
        <v>26</v>
      </c>
    </row>
    <row r="94" spans="1:6" x14ac:dyDescent="0.35">
      <c r="A94" t="s">
        <v>8</v>
      </c>
      <c r="B94" t="s">
        <v>9</v>
      </c>
      <c r="C94" t="s">
        <v>110</v>
      </c>
      <c r="D94" t="s">
        <v>118</v>
      </c>
      <c r="E94" t="s">
        <v>1</v>
      </c>
      <c r="F94">
        <v>0</v>
      </c>
    </row>
    <row r="95" spans="1:6" x14ac:dyDescent="0.35">
      <c r="A95" t="s">
        <v>8</v>
      </c>
      <c r="B95" t="s">
        <v>9</v>
      </c>
      <c r="C95" t="s">
        <v>110</v>
      </c>
      <c r="D95" t="s">
        <v>118</v>
      </c>
      <c r="E95" t="s">
        <v>95</v>
      </c>
      <c r="F95">
        <v>46</v>
      </c>
    </row>
    <row r="96" spans="1:6" x14ac:dyDescent="0.35">
      <c r="A96" t="s">
        <v>8</v>
      </c>
      <c r="B96" t="s">
        <v>10</v>
      </c>
      <c r="C96" t="s">
        <v>110</v>
      </c>
      <c r="D96" t="s">
        <v>118</v>
      </c>
      <c r="E96" t="s">
        <v>1</v>
      </c>
      <c r="F96">
        <v>1</v>
      </c>
    </row>
    <row r="97" spans="1:6" x14ac:dyDescent="0.35">
      <c r="A97" t="s">
        <v>8</v>
      </c>
      <c r="B97" t="s">
        <v>10</v>
      </c>
      <c r="C97" t="s">
        <v>110</v>
      </c>
      <c r="D97" t="s">
        <v>118</v>
      </c>
      <c r="E97" t="s">
        <v>95</v>
      </c>
      <c r="F97">
        <v>13</v>
      </c>
    </row>
    <row r="98" spans="1:6" x14ac:dyDescent="0.35">
      <c r="A98" t="s">
        <v>2</v>
      </c>
      <c r="B98" t="s">
        <v>9</v>
      </c>
      <c r="C98" t="s">
        <v>111</v>
      </c>
      <c r="D98" t="s">
        <v>94</v>
      </c>
      <c r="E98" t="s">
        <v>1</v>
      </c>
      <c r="F98">
        <v>1</v>
      </c>
    </row>
    <row r="99" spans="1:6" x14ac:dyDescent="0.35">
      <c r="A99" t="s">
        <v>2</v>
      </c>
      <c r="B99" t="s">
        <v>9</v>
      </c>
      <c r="C99" t="s">
        <v>111</v>
      </c>
      <c r="D99" t="s">
        <v>94</v>
      </c>
      <c r="E99" t="s">
        <v>95</v>
      </c>
      <c r="F99">
        <v>53</v>
      </c>
    </row>
    <row r="100" spans="1:6" x14ac:dyDescent="0.35">
      <c r="A100" t="s">
        <v>2</v>
      </c>
      <c r="B100" t="s">
        <v>10</v>
      </c>
      <c r="C100" t="s">
        <v>111</v>
      </c>
      <c r="D100" t="s">
        <v>94</v>
      </c>
      <c r="E100" t="s">
        <v>1</v>
      </c>
      <c r="F100">
        <v>0</v>
      </c>
    </row>
    <row r="101" spans="1:6" x14ac:dyDescent="0.35">
      <c r="A101" t="s">
        <v>2</v>
      </c>
      <c r="B101" t="s">
        <v>10</v>
      </c>
      <c r="C101" t="s">
        <v>111</v>
      </c>
      <c r="D101" t="s">
        <v>94</v>
      </c>
      <c r="E101" t="s">
        <v>95</v>
      </c>
      <c r="F101">
        <v>11</v>
      </c>
    </row>
    <row r="102" spans="1:6" x14ac:dyDescent="0.35">
      <c r="A102" t="s">
        <v>7</v>
      </c>
      <c r="B102" t="s">
        <v>9</v>
      </c>
      <c r="C102" t="s">
        <v>111</v>
      </c>
      <c r="D102" t="s">
        <v>94</v>
      </c>
      <c r="E102" t="s">
        <v>1</v>
      </c>
      <c r="F102">
        <v>4</v>
      </c>
    </row>
    <row r="103" spans="1:6" x14ac:dyDescent="0.35">
      <c r="A103" t="s">
        <v>7</v>
      </c>
      <c r="B103" t="s">
        <v>9</v>
      </c>
      <c r="C103" t="s">
        <v>111</v>
      </c>
      <c r="D103" t="s">
        <v>94</v>
      </c>
      <c r="E103" t="s">
        <v>95</v>
      </c>
      <c r="F103">
        <v>73</v>
      </c>
    </row>
    <row r="104" spans="1:6" x14ac:dyDescent="0.35">
      <c r="A104" t="s">
        <v>7</v>
      </c>
      <c r="B104" t="s">
        <v>10</v>
      </c>
      <c r="C104" t="s">
        <v>111</v>
      </c>
      <c r="D104" t="s">
        <v>94</v>
      </c>
      <c r="E104" t="s">
        <v>1</v>
      </c>
      <c r="F104">
        <v>1</v>
      </c>
    </row>
    <row r="105" spans="1:6" x14ac:dyDescent="0.35">
      <c r="A105" t="s">
        <v>7</v>
      </c>
      <c r="B105" t="s">
        <v>10</v>
      </c>
      <c r="C105" t="s">
        <v>111</v>
      </c>
      <c r="D105" t="s">
        <v>94</v>
      </c>
      <c r="E105" t="s">
        <v>95</v>
      </c>
      <c r="F105">
        <v>26</v>
      </c>
    </row>
    <row r="106" spans="1:6" x14ac:dyDescent="0.35">
      <c r="A106" t="s">
        <v>8</v>
      </c>
      <c r="B106" t="s">
        <v>9</v>
      </c>
      <c r="C106" t="s">
        <v>111</v>
      </c>
      <c r="D106" t="s">
        <v>94</v>
      </c>
      <c r="E106" t="s">
        <v>1</v>
      </c>
      <c r="F106">
        <v>0</v>
      </c>
    </row>
    <row r="107" spans="1:6" x14ac:dyDescent="0.35">
      <c r="A107" t="s">
        <v>8</v>
      </c>
      <c r="B107" t="s">
        <v>9</v>
      </c>
      <c r="C107" t="s">
        <v>111</v>
      </c>
      <c r="D107" t="s">
        <v>94</v>
      </c>
      <c r="E107" t="s">
        <v>95</v>
      </c>
      <c r="F107">
        <v>46</v>
      </c>
    </row>
    <row r="108" spans="1:6" x14ac:dyDescent="0.35">
      <c r="A108" t="s">
        <v>8</v>
      </c>
      <c r="B108" t="s">
        <v>10</v>
      </c>
      <c r="C108" t="s">
        <v>111</v>
      </c>
      <c r="D108" t="s">
        <v>94</v>
      </c>
      <c r="E108" t="s">
        <v>1</v>
      </c>
      <c r="F108">
        <v>0</v>
      </c>
    </row>
    <row r="109" spans="1:6" x14ac:dyDescent="0.35">
      <c r="A109" t="s">
        <v>8</v>
      </c>
      <c r="B109" t="s">
        <v>10</v>
      </c>
      <c r="C109" t="s">
        <v>111</v>
      </c>
      <c r="D109" t="s">
        <v>94</v>
      </c>
      <c r="E109" t="s">
        <v>95</v>
      </c>
      <c r="F109">
        <v>14</v>
      </c>
    </row>
    <row r="110" spans="1:6" x14ac:dyDescent="0.35">
      <c r="A110" t="s">
        <v>2</v>
      </c>
      <c r="B110" t="s">
        <v>9</v>
      </c>
      <c r="C110" t="s">
        <v>113</v>
      </c>
      <c r="D110" t="s">
        <v>112</v>
      </c>
      <c r="E110" t="s">
        <v>1</v>
      </c>
      <c r="F110">
        <v>4</v>
      </c>
    </row>
    <row r="111" spans="1:6" x14ac:dyDescent="0.35">
      <c r="A111" t="s">
        <v>2</v>
      </c>
      <c r="B111" t="s">
        <v>9</v>
      </c>
      <c r="C111" t="s">
        <v>113</v>
      </c>
      <c r="D111" t="s">
        <v>112</v>
      </c>
      <c r="E111" t="s">
        <v>95</v>
      </c>
      <c r="F111">
        <v>50</v>
      </c>
    </row>
    <row r="112" spans="1:6" x14ac:dyDescent="0.35">
      <c r="A112" t="s">
        <v>2</v>
      </c>
      <c r="B112" t="s">
        <v>10</v>
      </c>
      <c r="C112" t="s">
        <v>113</v>
      </c>
      <c r="D112" t="s">
        <v>112</v>
      </c>
      <c r="E112" t="s">
        <v>1</v>
      </c>
      <c r="F112">
        <v>0</v>
      </c>
    </row>
    <row r="113" spans="1:6" x14ac:dyDescent="0.35">
      <c r="A113" t="s">
        <v>2</v>
      </c>
      <c r="B113" t="s">
        <v>10</v>
      </c>
      <c r="C113" t="s">
        <v>113</v>
      </c>
      <c r="D113" t="s">
        <v>112</v>
      </c>
      <c r="E113" t="s">
        <v>95</v>
      </c>
      <c r="F113">
        <v>11</v>
      </c>
    </row>
    <row r="114" spans="1:6" x14ac:dyDescent="0.35">
      <c r="A114" t="s">
        <v>7</v>
      </c>
      <c r="B114" t="s">
        <v>9</v>
      </c>
      <c r="C114" t="s">
        <v>113</v>
      </c>
      <c r="D114" t="s">
        <v>112</v>
      </c>
      <c r="E114" t="s">
        <v>1</v>
      </c>
      <c r="F114">
        <v>37</v>
      </c>
    </row>
    <row r="115" spans="1:6" x14ac:dyDescent="0.35">
      <c r="A115" t="s">
        <v>7</v>
      </c>
      <c r="B115" t="s">
        <v>9</v>
      </c>
      <c r="C115" t="s">
        <v>113</v>
      </c>
      <c r="D115" t="s">
        <v>112</v>
      </c>
      <c r="E115" t="s">
        <v>95</v>
      </c>
      <c r="F115">
        <v>40</v>
      </c>
    </row>
    <row r="116" spans="1:6" x14ac:dyDescent="0.35">
      <c r="A116" t="s">
        <v>7</v>
      </c>
      <c r="B116" t="s">
        <v>10</v>
      </c>
      <c r="C116" t="s">
        <v>113</v>
      </c>
      <c r="D116" t="s">
        <v>112</v>
      </c>
      <c r="E116" t="s">
        <v>1</v>
      </c>
      <c r="F116">
        <v>3</v>
      </c>
    </row>
    <row r="117" spans="1:6" x14ac:dyDescent="0.35">
      <c r="A117" t="s">
        <v>7</v>
      </c>
      <c r="B117" t="s">
        <v>10</v>
      </c>
      <c r="C117" t="s">
        <v>113</v>
      </c>
      <c r="D117" t="s">
        <v>112</v>
      </c>
      <c r="E117" t="s">
        <v>95</v>
      </c>
      <c r="F117">
        <v>24</v>
      </c>
    </row>
    <row r="118" spans="1:6" x14ac:dyDescent="0.35">
      <c r="A118" t="s">
        <v>8</v>
      </c>
      <c r="B118" t="s">
        <v>9</v>
      </c>
      <c r="C118" t="s">
        <v>113</v>
      </c>
      <c r="D118" t="s">
        <v>112</v>
      </c>
      <c r="E118" t="s">
        <v>1</v>
      </c>
      <c r="F118">
        <v>2</v>
      </c>
    </row>
    <row r="119" spans="1:6" x14ac:dyDescent="0.35">
      <c r="A119" t="s">
        <v>8</v>
      </c>
      <c r="B119" t="s">
        <v>9</v>
      </c>
      <c r="C119" t="s">
        <v>113</v>
      </c>
      <c r="D119" t="s">
        <v>112</v>
      </c>
      <c r="E119" t="s">
        <v>95</v>
      </c>
      <c r="F119">
        <v>44</v>
      </c>
    </row>
    <row r="120" spans="1:6" x14ac:dyDescent="0.35">
      <c r="A120" t="s">
        <v>8</v>
      </c>
      <c r="B120" t="s">
        <v>10</v>
      </c>
      <c r="C120" t="s">
        <v>113</v>
      </c>
      <c r="D120" t="s">
        <v>112</v>
      </c>
      <c r="E120" t="s">
        <v>1</v>
      </c>
      <c r="F120">
        <v>0</v>
      </c>
    </row>
    <row r="121" spans="1:6" x14ac:dyDescent="0.35">
      <c r="A121" t="s">
        <v>8</v>
      </c>
      <c r="B121" t="s">
        <v>10</v>
      </c>
      <c r="C121" t="s">
        <v>113</v>
      </c>
      <c r="D121" t="s">
        <v>112</v>
      </c>
      <c r="E121" t="s">
        <v>95</v>
      </c>
      <c r="F12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1D3B-366B-4A0E-A80B-FC1713B28EC0}">
  <dimension ref="A1:H93"/>
  <sheetViews>
    <sheetView workbookViewId="0">
      <selection activeCell="T10" sqref="T10"/>
    </sheetView>
  </sheetViews>
  <sheetFormatPr defaultRowHeight="14.5" x14ac:dyDescent="0.35"/>
  <sheetData>
    <row r="1" spans="1:8" x14ac:dyDescent="0.35">
      <c r="A1" t="s">
        <v>98</v>
      </c>
      <c r="B1" t="s">
        <v>144</v>
      </c>
      <c r="C1" t="s">
        <v>21</v>
      </c>
      <c r="D1" t="s">
        <v>0</v>
      </c>
      <c r="E1" t="s">
        <v>62</v>
      </c>
      <c r="F1" t="s">
        <v>99</v>
      </c>
      <c r="G1" t="s">
        <v>100</v>
      </c>
      <c r="H1" t="s">
        <v>101</v>
      </c>
    </row>
    <row r="2" spans="1:8" x14ac:dyDescent="0.35">
      <c r="A2" t="s">
        <v>9</v>
      </c>
      <c r="B2">
        <v>1</v>
      </c>
      <c r="C2">
        <v>88.612431018664338</v>
      </c>
      <c r="D2">
        <v>9.3818039903049524</v>
      </c>
      <c r="E2">
        <v>2.005764991030714</v>
      </c>
      <c r="F2">
        <v>9.4451377485860295</v>
      </c>
      <c r="G2">
        <v>44.178870114354012</v>
      </c>
      <c r="H2">
        <v>4.6774193548387091</v>
      </c>
    </row>
    <row r="3" spans="1:8" x14ac:dyDescent="0.35">
      <c r="A3" t="s">
        <v>9</v>
      </c>
      <c r="B3">
        <v>2</v>
      </c>
      <c r="C3">
        <v>85.615746816848741</v>
      </c>
      <c r="D3">
        <v>12.58622153525736</v>
      </c>
      <c r="E3">
        <v>1.7980316478939089</v>
      </c>
      <c r="F3">
        <v>6.8023390957338732</v>
      </c>
      <c r="G3">
        <v>47.616373670137101</v>
      </c>
      <c r="H3">
        <v>6.9999999999999991</v>
      </c>
    </row>
    <row r="4" spans="1:8" x14ac:dyDescent="0.35">
      <c r="A4" t="s">
        <v>9</v>
      </c>
      <c r="B4">
        <v>3</v>
      </c>
      <c r="C4">
        <v>91.382784873807026</v>
      </c>
      <c r="D4">
        <v>4.5795625343401909</v>
      </c>
      <c r="E4">
        <v>0.97478187875295763</v>
      </c>
      <c r="F4">
        <v>19.954479098945889</v>
      </c>
      <c r="G4">
        <v>93.746905708499</v>
      </c>
      <c r="H4">
        <v>4.6980382321005427</v>
      </c>
    </row>
    <row r="5" spans="1:8" x14ac:dyDescent="0.35">
      <c r="A5" t="s">
        <v>9</v>
      </c>
      <c r="B5">
        <v>4</v>
      </c>
      <c r="C5">
        <v>93.171165346694679</v>
      </c>
      <c r="D5">
        <v>7.6424332474400183</v>
      </c>
      <c r="E5">
        <v>0.93744949086794893</v>
      </c>
      <c r="F5">
        <v>12.191295930246319</v>
      </c>
      <c r="G5">
        <v>99.387931034482747</v>
      </c>
      <c r="H5">
        <v>8.1523680175709305</v>
      </c>
    </row>
    <row r="6" spans="1:8" x14ac:dyDescent="0.35">
      <c r="A6" t="s">
        <v>9</v>
      </c>
      <c r="B6">
        <v>5</v>
      </c>
      <c r="C6">
        <v>91.526575964700328</v>
      </c>
      <c r="D6">
        <v>5.8913851624373699</v>
      </c>
      <c r="E6">
        <v>0.71310994356482416</v>
      </c>
      <c r="F6">
        <v>15.535663250853251</v>
      </c>
      <c r="G6">
        <v>128.34847808622689</v>
      </c>
      <c r="H6">
        <v>8.2615383723110618</v>
      </c>
    </row>
    <row r="7" spans="1:8" x14ac:dyDescent="0.35">
      <c r="A7" t="s">
        <v>9</v>
      </c>
      <c r="B7">
        <v>6</v>
      </c>
      <c r="C7">
        <v>97.589347770421028</v>
      </c>
      <c r="D7">
        <v>7.7603140917348519</v>
      </c>
      <c r="E7">
        <v>0.80355074319298603</v>
      </c>
      <c r="F7">
        <v>12.57543787748989</v>
      </c>
      <c r="G7">
        <v>121.4476479514416</v>
      </c>
      <c r="H7">
        <v>9.6575283608083033</v>
      </c>
    </row>
    <row r="8" spans="1:8" x14ac:dyDescent="0.35">
      <c r="A8" t="s">
        <v>9</v>
      </c>
      <c r="B8">
        <v>7</v>
      </c>
      <c r="C8">
        <v>98.209489704565797</v>
      </c>
      <c r="D8">
        <v>1.6071014863859721</v>
      </c>
      <c r="E8">
        <v>0.80572963294538935</v>
      </c>
      <c r="G8">
        <v>121.8888888888889</v>
      </c>
      <c r="H8">
        <v>1.994591511436812</v>
      </c>
    </row>
    <row r="9" spans="1:8" x14ac:dyDescent="0.35">
      <c r="A9" t="s">
        <v>9</v>
      </c>
      <c r="B9">
        <v>8</v>
      </c>
      <c r="C9">
        <v>96.287328490718323</v>
      </c>
      <c r="D9">
        <v>0.98478066248880936</v>
      </c>
      <c r="E9">
        <v>0.32284100080710249</v>
      </c>
      <c r="H9">
        <v>3.0503581020590871</v>
      </c>
    </row>
    <row r="10" spans="1:8" x14ac:dyDescent="0.35">
      <c r="A10" t="s">
        <v>9</v>
      </c>
      <c r="B10">
        <v>9</v>
      </c>
      <c r="C10">
        <v>90.747575582493141</v>
      </c>
      <c r="D10">
        <v>3.3898305084745761</v>
      </c>
      <c r="E10">
        <v>1.2395592521061829</v>
      </c>
      <c r="F10">
        <v>26.770534796835481</v>
      </c>
      <c r="G10">
        <v>73.209550433591957</v>
      </c>
      <c r="H10">
        <v>2.7347063100975482</v>
      </c>
    </row>
    <row r="11" spans="1:8" x14ac:dyDescent="0.35">
      <c r="A11" t="s">
        <v>9</v>
      </c>
      <c r="B11">
        <v>10</v>
      </c>
      <c r="C11">
        <v>91.017085405425419</v>
      </c>
      <c r="D11">
        <v>8.0128651654006831</v>
      </c>
      <c r="E11">
        <v>0.57954287706932761</v>
      </c>
      <c r="F11">
        <v>11.3588689596868</v>
      </c>
      <c r="G11">
        <v>157.04978700745471</v>
      </c>
      <c r="H11">
        <v>13.82618177609341</v>
      </c>
    </row>
    <row r="12" spans="1:8" x14ac:dyDescent="0.35">
      <c r="A12" t="s">
        <v>9</v>
      </c>
      <c r="B12">
        <v>11</v>
      </c>
      <c r="C12">
        <v>86.950443093725212</v>
      </c>
      <c r="D12">
        <v>8.4033717175052498</v>
      </c>
      <c r="E12">
        <v>2.7963336227731679</v>
      </c>
      <c r="F12">
        <v>10.347089955880071</v>
      </c>
      <c r="G12">
        <v>31.094445378622272</v>
      </c>
      <c r="H12">
        <v>3.0051391754791741</v>
      </c>
    </row>
    <row r="13" spans="1:8" x14ac:dyDescent="0.35">
      <c r="A13" t="s">
        <v>9</v>
      </c>
      <c r="B13">
        <v>12</v>
      </c>
      <c r="C13">
        <v>90.827582263643905</v>
      </c>
      <c r="D13">
        <v>10.253223283501621</v>
      </c>
      <c r="E13">
        <v>1.1708167757797541</v>
      </c>
      <c r="F13">
        <v>8.8584418530896389</v>
      </c>
      <c r="G13">
        <v>77.576256287542108</v>
      </c>
      <c r="H13">
        <v>8.7573252242419066</v>
      </c>
    </row>
    <row r="14" spans="1:8" x14ac:dyDescent="0.35">
      <c r="A14" t="s">
        <v>9</v>
      </c>
      <c r="B14">
        <v>13</v>
      </c>
      <c r="C14">
        <v>90.193247235267378</v>
      </c>
      <c r="D14">
        <v>8.0016009605763472</v>
      </c>
      <c r="E14">
        <v>1.2788663649447061</v>
      </c>
      <c r="F14">
        <v>11.271900170934151</v>
      </c>
      <c r="G14">
        <v>70.525935865994157</v>
      </c>
      <c r="H14">
        <v>6.2567920933023462</v>
      </c>
    </row>
    <row r="15" spans="1:8" x14ac:dyDescent="0.35">
      <c r="A15" t="s">
        <v>9</v>
      </c>
      <c r="B15">
        <v>14</v>
      </c>
      <c r="C15">
        <v>91.258725746083741</v>
      </c>
      <c r="D15">
        <v>8.5278863997879117</v>
      </c>
      <c r="E15">
        <v>1.442656685844822</v>
      </c>
      <c r="F15">
        <v>10.70121264142934</v>
      </c>
      <c r="G15">
        <v>63.257410194333559</v>
      </c>
      <c r="H15">
        <v>5.9112375684821821</v>
      </c>
    </row>
    <row r="16" spans="1:8" x14ac:dyDescent="0.35">
      <c r="A16" t="s">
        <v>9</v>
      </c>
      <c r="B16">
        <v>15</v>
      </c>
      <c r="C16">
        <v>95.662312909916466</v>
      </c>
      <c r="D16">
        <v>7.2986175680714389</v>
      </c>
      <c r="E16">
        <v>2.07971298839621</v>
      </c>
      <c r="F16">
        <v>13.10690853681678</v>
      </c>
      <c r="G16">
        <v>45.997843665768187</v>
      </c>
      <c r="H16">
        <v>3.509435008000712</v>
      </c>
    </row>
    <row r="17" spans="1:8" x14ac:dyDescent="0.35">
      <c r="A17" t="s">
        <v>9</v>
      </c>
      <c r="B17">
        <v>16</v>
      </c>
      <c r="C17">
        <v>90.025933374035745</v>
      </c>
      <c r="D17">
        <v>2.2579741016873141</v>
      </c>
      <c r="E17">
        <v>1.4430564480118491</v>
      </c>
      <c r="G17">
        <v>62.385593784683692</v>
      </c>
      <c r="H17">
        <v>1.564716407870397</v>
      </c>
    </row>
    <row r="18" spans="1:8" x14ac:dyDescent="0.35">
      <c r="A18" t="s">
        <v>9</v>
      </c>
      <c r="B18">
        <v>17</v>
      </c>
      <c r="C18">
        <v>89.077048007359522</v>
      </c>
      <c r="D18">
        <v>8.5310101779524015</v>
      </c>
      <c r="E18">
        <v>0.82579018501061885</v>
      </c>
      <c r="F18">
        <v>10.44155922326418</v>
      </c>
      <c r="G18">
        <v>107.8688626048687</v>
      </c>
      <c r="H18">
        <v>10.330723630292001</v>
      </c>
    </row>
    <row r="19" spans="1:8" x14ac:dyDescent="0.35">
      <c r="A19" t="s">
        <v>9</v>
      </c>
      <c r="B19">
        <v>18</v>
      </c>
      <c r="C19">
        <v>91.82781802997998</v>
      </c>
      <c r="D19">
        <v>10.09716180762984</v>
      </c>
      <c r="E19">
        <v>1.156440844814153</v>
      </c>
      <c r="F19">
        <v>9.0944187861376058</v>
      </c>
      <c r="G19">
        <v>79.405547150781643</v>
      </c>
      <c r="H19">
        <v>8.7312393477874064</v>
      </c>
    </row>
    <row r="20" spans="1:8" x14ac:dyDescent="0.35">
      <c r="A20" t="s">
        <v>9</v>
      </c>
      <c r="B20">
        <v>19</v>
      </c>
      <c r="C20">
        <v>93.706982513315666</v>
      </c>
      <c r="D20">
        <v>7.015741125205861</v>
      </c>
      <c r="E20">
        <v>1.4677627258798061</v>
      </c>
      <c r="F20">
        <v>13.35667620013075</v>
      </c>
      <c r="G20">
        <v>63.843413421706707</v>
      </c>
      <c r="H20">
        <v>4.7798877853370234</v>
      </c>
    </row>
    <row r="21" spans="1:8" x14ac:dyDescent="0.35">
      <c r="A21" t="s">
        <v>9</v>
      </c>
      <c r="B21">
        <v>20</v>
      </c>
      <c r="C21">
        <v>91.012425890165858</v>
      </c>
      <c r="D21">
        <v>4.8252547608045333</v>
      </c>
      <c r="E21">
        <v>2.3346717380111381</v>
      </c>
      <c r="F21">
        <v>18.861683040957409</v>
      </c>
      <c r="G21">
        <v>38.982964674810169</v>
      </c>
      <c r="H21">
        <v>2.0667808164393491</v>
      </c>
    </row>
    <row r="22" spans="1:8" x14ac:dyDescent="0.35">
      <c r="A22" t="s">
        <v>9</v>
      </c>
      <c r="B22">
        <v>21</v>
      </c>
      <c r="C22">
        <v>85.582624695662773</v>
      </c>
      <c r="D22">
        <v>6.6529023718230009</v>
      </c>
      <c r="E22">
        <v>1.3408627674228291</v>
      </c>
      <c r="F22">
        <v>12.8639531910359</v>
      </c>
      <c r="G22">
        <v>63.826535253980289</v>
      </c>
      <c r="H22">
        <v>4.9616579216455099</v>
      </c>
    </row>
    <row r="23" spans="1:8" x14ac:dyDescent="0.35">
      <c r="A23" t="s">
        <v>9</v>
      </c>
      <c r="B23">
        <v>22</v>
      </c>
      <c r="C23">
        <v>89.459304670886524</v>
      </c>
      <c r="D23">
        <v>13.07651253691439</v>
      </c>
      <c r="E23">
        <v>1.8600875511088311</v>
      </c>
      <c r="F23">
        <v>6.8412204261913923</v>
      </c>
      <c r="G23">
        <v>48.094136546184743</v>
      </c>
      <c r="H23">
        <v>7.0300521763716146</v>
      </c>
    </row>
    <row r="24" spans="1:8" x14ac:dyDescent="0.35">
      <c r="A24" t="s">
        <v>9</v>
      </c>
      <c r="B24">
        <v>23</v>
      </c>
      <c r="C24">
        <v>89.47768498462959</v>
      </c>
      <c r="D24">
        <v>8.6806077780046529</v>
      </c>
      <c r="E24">
        <v>1.492381781777312</v>
      </c>
      <c r="F24">
        <v>10.307767298431861</v>
      </c>
      <c r="G24">
        <v>59.956296758104727</v>
      </c>
      <c r="H24">
        <v>5.8166133384895113</v>
      </c>
    </row>
    <row r="25" spans="1:8" x14ac:dyDescent="0.35">
      <c r="A25" t="s">
        <v>9</v>
      </c>
      <c r="B25">
        <v>24</v>
      </c>
      <c r="C25">
        <v>88.195707100521844</v>
      </c>
      <c r="D25">
        <v>9.0299332335931037</v>
      </c>
      <c r="E25">
        <v>1.9916513836086911</v>
      </c>
      <c r="F25">
        <v>9.7670386722702105</v>
      </c>
      <c r="G25">
        <v>44.282703201159258</v>
      </c>
      <c r="H25">
        <v>4.5338924813396249</v>
      </c>
    </row>
    <row r="26" spans="1:8" x14ac:dyDescent="0.35">
      <c r="A26" t="s">
        <v>9</v>
      </c>
      <c r="B26">
        <v>25</v>
      </c>
      <c r="C26">
        <v>101.1315555636244</v>
      </c>
      <c r="D26">
        <v>9.8126415158694531</v>
      </c>
      <c r="E26">
        <v>2.0019829202585662</v>
      </c>
      <c r="F26">
        <v>10.30625193023406</v>
      </c>
      <c r="G26">
        <v>50.515693485817927</v>
      </c>
      <c r="H26">
        <v>4.9014611546246867</v>
      </c>
    </row>
    <row r="27" spans="1:8" x14ac:dyDescent="0.35">
      <c r="A27" t="s">
        <v>9</v>
      </c>
      <c r="B27">
        <v>26</v>
      </c>
      <c r="C27">
        <v>88.134856796812599</v>
      </c>
      <c r="D27">
        <v>9.9757891899410041</v>
      </c>
      <c r="E27">
        <v>1.9904433349266879</v>
      </c>
      <c r="F27">
        <v>8.8348756292567394</v>
      </c>
      <c r="G27">
        <v>44.279008224094348</v>
      </c>
      <c r="H27">
        <v>5.0118428467135603</v>
      </c>
    </row>
    <row r="28" spans="1:8" x14ac:dyDescent="0.35">
      <c r="A28" t="s">
        <v>9</v>
      </c>
      <c r="B28">
        <v>27</v>
      </c>
      <c r="C28">
        <v>92.542393246335322</v>
      </c>
      <c r="D28">
        <v>5.6132523952314788</v>
      </c>
      <c r="E28">
        <v>1.889354013246402</v>
      </c>
      <c r="F28">
        <v>16.486412284783619</v>
      </c>
      <c r="G28">
        <v>48.980970531469318</v>
      </c>
      <c r="H28">
        <v>2.9709902728004098</v>
      </c>
    </row>
    <row r="29" spans="1:8" x14ac:dyDescent="0.35">
      <c r="A29" t="s">
        <v>9</v>
      </c>
      <c r="B29">
        <v>28</v>
      </c>
      <c r="C29">
        <v>93.707142862010144</v>
      </c>
      <c r="D29">
        <v>5.503771325929919</v>
      </c>
      <c r="E29">
        <v>1.8443543584332001</v>
      </c>
      <c r="F29">
        <v>17.02598769329817</v>
      </c>
      <c r="G29">
        <v>50.807558988618332</v>
      </c>
      <c r="H29">
        <v>2.9841181553665401</v>
      </c>
    </row>
    <row r="30" spans="1:8" x14ac:dyDescent="0.35">
      <c r="A30" t="s">
        <v>9</v>
      </c>
      <c r="B30">
        <v>29</v>
      </c>
      <c r="C30">
        <v>94.156237723127617</v>
      </c>
      <c r="D30">
        <v>3.306339182967263</v>
      </c>
      <c r="E30">
        <v>0.78908581205992967</v>
      </c>
      <c r="G30">
        <v>119.32319183046801</v>
      </c>
      <c r="H30">
        <v>4.1900882419061309</v>
      </c>
    </row>
    <row r="31" spans="1:8" x14ac:dyDescent="0.35">
      <c r="A31" t="s">
        <v>9</v>
      </c>
      <c r="B31">
        <v>30</v>
      </c>
      <c r="C31">
        <v>99.439211853886576</v>
      </c>
      <c r="D31">
        <v>5.1780465579761623</v>
      </c>
      <c r="E31">
        <v>2.51683363442273</v>
      </c>
      <c r="F31">
        <v>19.204001111328822</v>
      </c>
      <c r="G31">
        <v>39.509648350950407</v>
      </c>
      <c r="H31">
        <v>2.057365448059826</v>
      </c>
    </row>
    <row r="32" spans="1:8" x14ac:dyDescent="0.35">
      <c r="A32" t="s">
        <v>9</v>
      </c>
      <c r="B32">
        <v>31</v>
      </c>
      <c r="C32">
        <v>93.974636732536837</v>
      </c>
      <c r="D32">
        <v>7.2183472921405976</v>
      </c>
      <c r="E32">
        <v>2.537423093905109</v>
      </c>
      <c r="F32">
        <v>13.01885777023465</v>
      </c>
      <c r="G32">
        <v>37.035462063171067</v>
      </c>
      <c r="H32">
        <v>2.8447551019296191</v>
      </c>
    </row>
    <row r="33" spans="1:8" x14ac:dyDescent="0.35">
      <c r="A33" t="s">
        <v>9</v>
      </c>
      <c r="B33">
        <v>32</v>
      </c>
      <c r="C33">
        <v>91.039293016653062</v>
      </c>
      <c r="D33">
        <v>6.8194128297327721</v>
      </c>
      <c r="E33">
        <v>1.6823644383402441</v>
      </c>
      <c r="F33">
        <v>13.35001931833779</v>
      </c>
      <c r="G33">
        <v>54.113895266633733</v>
      </c>
      <c r="H33">
        <v>4.0534694352316087</v>
      </c>
    </row>
    <row r="34" spans="1:8" x14ac:dyDescent="0.35">
      <c r="A34" t="s">
        <v>9</v>
      </c>
      <c r="B34">
        <v>33</v>
      </c>
      <c r="C34">
        <v>91.943071583206631</v>
      </c>
      <c r="D34">
        <v>7.9261454193461596</v>
      </c>
      <c r="E34">
        <v>0.84731670948700843</v>
      </c>
      <c r="F34">
        <v>11.59997283910433</v>
      </c>
      <c r="G34">
        <v>108.510867959717</v>
      </c>
      <c r="H34">
        <v>9.3544070718785797</v>
      </c>
    </row>
    <row r="35" spans="1:8" x14ac:dyDescent="0.35">
      <c r="A35" t="s">
        <v>9</v>
      </c>
      <c r="B35">
        <v>34</v>
      </c>
      <c r="C35">
        <v>91.067052396702437</v>
      </c>
      <c r="D35">
        <v>11.316923336779229</v>
      </c>
      <c r="E35">
        <v>1.742359691206351</v>
      </c>
      <c r="F35">
        <v>8.0469797034623962</v>
      </c>
      <c r="G35">
        <v>52.266505507626093</v>
      </c>
      <c r="H35">
        <v>6.4951705402136453</v>
      </c>
    </row>
    <row r="36" spans="1:8" x14ac:dyDescent="0.35">
      <c r="A36" t="s">
        <v>9</v>
      </c>
      <c r="B36">
        <v>35</v>
      </c>
      <c r="C36">
        <v>87.93297539751677</v>
      </c>
      <c r="D36">
        <v>6.0071247502053824</v>
      </c>
      <c r="E36">
        <v>1.237515587060589</v>
      </c>
      <c r="F36">
        <v>14.63811374892961</v>
      </c>
      <c r="G36">
        <v>71.056054822210143</v>
      </c>
      <c r="H36">
        <v>4.8541810810430404</v>
      </c>
    </row>
    <row r="37" spans="1:8" x14ac:dyDescent="0.35">
      <c r="A37" t="s">
        <v>9</v>
      </c>
      <c r="B37">
        <v>36</v>
      </c>
      <c r="C37">
        <v>93.633549550817975</v>
      </c>
      <c r="D37">
        <v>3.3704233805808208</v>
      </c>
      <c r="E37">
        <v>1.0068021839514081</v>
      </c>
      <c r="F37">
        <v>27.780945886591319</v>
      </c>
      <c r="G37">
        <v>93.000940048951136</v>
      </c>
      <c r="H37">
        <v>3.3476520356291659</v>
      </c>
    </row>
    <row r="38" spans="1:8" x14ac:dyDescent="0.35">
      <c r="A38" t="s">
        <v>9</v>
      </c>
      <c r="B38">
        <v>37</v>
      </c>
      <c r="C38">
        <v>99.990987669493265</v>
      </c>
      <c r="D38">
        <v>9.5694334895374205</v>
      </c>
      <c r="E38">
        <v>0.75010126570400404</v>
      </c>
      <c r="F38">
        <v>10.44899761086346</v>
      </c>
      <c r="G38">
        <v>133.30331815351249</v>
      </c>
      <c r="H38">
        <v>12.75752212010477</v>
      </c>
    </row>
    <row r="39" spans="1:8" x14ac:dyDescent="0.35">
      <c r="A39" t="s">
        <v>9</v>
      </c>
      <c r="B39">
        <v>38</v>
      </c>
      <c r="C39">
        <v>93.923344304248317</v>
      </c>
      <c r="D39">
        <v>3.8882372788765882</v>
      </c>
      <c r="E39">
        <v>0.35932569897664729</v>
      </c>
      <c r="F39">
        <v>24.155764570876499</v>
      </c>
      <c r="H39">
        <v>10.820927336815069</v>
      </c>
    </row>
    <row r="40" spans="1:8" x14ac:dyDescent="0.35">
      <c r="A40" t="s">
        <v>9</v>
      </c>
      <c r="B40">
        <v>39</v>
      </c>
      <c r="C40">
        <v>88.687885677167912</v>
      </c>
      <c r="D40">
        <v>5.5341253255677314</v>
      </c>
      <c r="E40">
        <v>0.48748515013723309</v>
      </c>
      <c r="F40">
        <v>16.025637378942019</v>
      </c>
      <c r="G40">
        <v>181.92940985423081</v>
      </c>
      <c r="H40">
        <v>11.35239775818772</v>
      </c>
    </row>
    <row r="41" spans="1:8" x14ac:dyDescent="0.35">
      <c r="A41" t="s">
        <v>9</v>
      </c>
      <c r="B41">
        <v>40</v>
      </c>
      <c r="C41">
        <v>95.078969777792054</v>
      </c>
      <c r="D41">
        <v>6.8734010135740711</v>
      </c>
      <c r="E41">
        <v>2.7062323151708632</v>
      </c>
      <c r="F41">
        <v>13.832885581682699</v>
      </c>
      <c r="G41">
        <v>35.133336205021664</v>
      </c>
      <c r="H41">
        <v>2.5398414522812711</v>
      </c>
    </row>
    <row r="42" spans="1:8" x14ac:dyDescent="0.35">
      <c r="A42" t="s">
        <v>9</v>
      </c>
      <c r="B42">
        <v>41</v>
      </c>
      <c r="C42">
        <v>93.387798312308689</v>
      </c>
      <c r="D42">
        <v>12.743038178406939</v>
      </c>
      <c r="E42">
        <v>1.7426808332946691</v>
      </c>
      <c r="F42">
        <v>7.328534765795033</v>
      </c>
      <c r="G42">
        <v>53.588584052853811</v>
      </c>
      <c r="H42">
        <v>7.312319005836124</v>
      </c>
    </row>
    <row r="43" spans="1:8" x14ac:dyDescent="0.35">
      <c r="A43" t="s">
        <v>9</v>
      </c>
      <c r="B43">
        <v>42</v>
      </c>
      <c r="C43">
        <v>92.493522577280956</v>
      </c>
      <c r="D43">
        <v>12.204622237321409</v>
      </c>
      <c r="E43">
        <v>1.032792943331351</v>
      </c>
      <c r="F43">
        <v>7.5785649714284684</v>
      </c>
      <c r="G43">
        <v>89.556694954688723</v>
      </c>
      <c r="H43">
        <v>11.817104595965271</v>
      </c>
    </row>
    <row r="44" spans="1:8" x14ac:dyDescent="0.35">
      <c r="A44" t="s">
        <v>9</v>
      </c>
      <c r="B44">
        <v>43</v>
      </c>
      <c r="C44">
        <v>84.89949975858778</v>
      </c>
      <c r="D44">
        <v>10.13215373804085</v>
      </c>
      <c r="E44">
        <v>1.078076362123584</v>
      </c>
      <c r="F44">
        <v>8.3792155106998916</v>
      </c>
      <c r="G44">
        <v>78.750914815861108</v>
      </c>
      <c r="H44">
        <v>9.3983636911235457</v>
      </c>
    </row>
    <row r="45" spans="1:8" x14ac:dyDescent="0.35">
      <c r="A45" t="s">
        <v>9</v>
      </c>
      <c r="B45">
        <v>44</v>
      </c>
      <c r="C45">
        <v>86.97719079704811</v>
      </c>
      <c r="D45">
        <v>13.54560338097334</v>
      </c>
      <c r="E45">
        <v>0.6330764091449802</v>
      </c>
      <c r="F45">
        <v>6.4210643373199243</v>
      </c>
      <c r="G45">
        <v>137.3881407372574</v>
      </c>
    </row>
    <row r="46" spans="1:8" x14ac:dyDescent="0.35">
      <c r="A46" t="s">
        <v>9</v>
      </c>
      <c r="B46">
        <v>45</v>
      </c>
      <c r="C46">
        <v>95.774835495644311</v>
      </c>
      <c r="D46">
        <v>4.0161777935567136</v>
      </c>
      <c r="E46">
        <v>2.357462063005284</v>
      </c>
      <c r="F46">
        <v>23.847259862175179</v>
      </c>
      <c r="G46">
        <v>40.626246758580237</v>
      </c>
      <c r="H46">
        <v>1.703602300364021</v>
      </c>
    </row>
    <row r="47" spans="1:8" x14ac:dyDescent="0.35">
      <c r="A47" t="s">
        <v>9</v>
      </c>
      <c r="B47">
        <v>46</v>
      </c>
      <c r="C47">
        <v>89.693153956130857</v>
      </c>
      <c r="D47">
        <v>15.08447094513312</v>
      </c>
      <c r="E47">
        <v>0.81818696563048543</v>
      </c>
      <c r="F47">
        <v>5.9460589822720724</v>
      </c>
      <c r="G47">
        <v>109.6242762643063</v>
      </c>
      <c r="H47">
        <v>18.436459609826709</v>
      </c>
    </row>
    <row r="48" spans="1:8" x14ac:dyDescent="0.35">
      <c r="A48" t="s">
        <v>9</v>
      </c>
      <c r="B48">
        <v>47</v>
      </c>
      <c r="C48">
        <v>86.144752178025556</v>
      </c>
      <c r="D48">
        <v>5.0559768869628039</v>
      </c>
      <c r="E48">
        <v>0.17469230582829051</v>
      </c>
      <c r="F48">
        <v>17.03820134149662</v>
      </c>
    </row>
    <row r="49" spans="1:8" x14ac:dyDescent="0.35">
      <c r="A49" t="s">
        <v>9</v>
      </c>
      <c r="B49">
        <v>48</v>
      </c>
      <c r="C49">
        <v>96.186428141734297</v>
      </c>
      <c r="D49">
        <v>8.0343414716566706</v>
      </c>
      <c r="E49">
        <v>0.30964444100111271</v>
      </c>
      <c r="F49">
        <v>11.971911883638271</v>
      </c>
    </row>
    <row r="50" spans="1:8" x14ac:dyDescent="0.35">
      <c r="A50" t="s">
        <v>9</v>
      </c>
      <c r="B50">
        <v>49</v>
      </c>
      <c r="C50">
        <v>83.011663789947178</v>
      </c>
      <c r="D50">
        <v>7.6600942521459601</v>
      </c>
      <c r="E50">
        <v>1.9038652649197141</v>
      </c>
      <c r="F50">
        <v>10.836898484204889</v>
      </c>
      <c r="G50">
        <v>43.601648351648343</v>
      </c>
      <c r="H50">
        <v>4.0234434617246846</v>
      </c>
    </row>
    <row r="51" spans="1:8" x14ac:dyDescent="0.35">
      <c r="A51" t="s">
        <v>9</v>
      </c>
      <c r="B51">
        <v>50</v>
      </c>
      <c r="C51">
        <v>94.077284218129293</v>
      </c>
      <c r="D51">
        <v>9.5637101782420473</v>
      </c>
      <c r="E51">
        <v>0.86673889490790912</v>
      </c>
      <c r="F51">
        <v>9.8369024640834635</v>
      </c>
      <c r="G51">
        <v>108.5416666666667</v>
      </c>
      <c r="H51">
        <v>11.03413061814676</v>
      </c>
    </row>
    <row r="52" spans="1:8" x14ac:dyDescent="0.35">
      <c r="A52" t="s">
        <v>9</v>
      </c>
      <c r="B52">
        <v>51</v>
      </c>
      <c r="C52">
        <v>90.860015206555715</v>
      </c>
      <c r="D52">
        <v>1.3657238096380051</v>
      </c>
      <c r="E52">
        <v>1.1056433217876149</v>
      </c>
      <c r="G52">
        <v>82.178414517669552</v>
      </c>
      <c r="H52">
        <v>1.2352300083809029</v>
      </c>
    </row>
    <row r="53" spans="1:8" x14ac:dyDescent="0.35">
      <c r="A53" t="s">
        <v>9</v>
      </c>
      <c r="B53">
        <v>52</v>
      </c>
      <c r="C53">
        <v>91.618302666130134</v>
      </c>
      <c r="D53">
        <v>7.5862068965517242</v>
      </c>
      <c r="E53">
        <v>0.72160308172389498</v>
      </c>
      <c r="F53">
        <v>12.07695807871715</v>
      </c>
      <c r="G53">
        <v>126.9649548159577</v>
      </c>
      <c r="H53">
        <v>10.51299126720528</v>
      </c>
    </row>
    <row r="54" spans="1:8" x14ac:dyDescent="0.35">
      <c r="A54" t="s">
        <v>9</v>
      </c>
      <c r="B54">
        <v>53</v>
      </c>
      <c r="C54">
        <v>89.103413756986484</v>
      </c>
      <c r="D54">
        <v>9.5767195767195776</v>
      </c>
      <c r="E54">
        <v>1.332876064771473</v>
      </c>
      <c r="F54">
        <v>9.30416861882345</v>
      </c>
      <c r="G54">
        <v>66.850486787204474</v>
      </c>
      <c r="H54">
        <v>7.1850037898021233</v>
      </c>
    </row>
    <row r="55" spans="1:8" x14ac:dyDescent="0.35">
      <c r="A55" t="s">
        <v>9</v>
      </c>
      <c r="B55">
        <v>54</v>
      </c>
      <c r="C55">
        <v>95.469969663904848</v>
      </c>
      <c r="D55">
        <v>2.564306050825703</v>
      </c>
      <c r="E55">
        <v>3.164306526457151</v>
      </c>
      <c r="G55">
        <v>30.170898067449791</v>
      </c>
      <c r="H55">
        <v>0.81038484400459576</v>
      </c>
    </row>
    <row r="56" spans="1:8" x14ac:dyDescent="0.35">
      <c r="A56" t="s">
        <v>9</v>
      </c>
      <c r="B56">
        <v>55</v>
      </c>
      <c r="C56">
        <v>91.522988505747122</v>
      </c>
      <c r="E56">
        <v>0.89080459770114939</v>
      </c>
      <c r="G56">
        <v>102.741935483871</v>
      </c>
    </row>
    <row r="57" spans="1:8" x14ac:dyDescent="0.35">
      <c r="A57" t="s">
        <v>9</v>
      </c>
      <c r="B57">
        <v>56</v>
      </c>
      <c r="C57">
        <v>89.550264550264558</v>
      </c>
      <c r="E57">
        <v>0.87301587301587324</v>
      </c>
      <c r="G57">
        <v>102.57575757575761</v>
      </c>
    </row>
    <row r="58" spans="1:8" x14ac:dyDescent="0.35">
      <c r="A58" t="s">
        <v>10</v>
      </c>
      <c r="B58">
        <v>1</v>
      </c>
      <c r="C58">
        <v>82.348798071366204</v>
      </c>
      <c r="D58">
        <v>15.768655577216681</v>
      </c>
      <c r="E58">
        <v>1.882546351417121</v>
      </c>
      <c r="F58">
        <v>5.2223093889087</v>
      </c>
      <c r="G58">
        <v>43.743304386304558</v>
      </c>
      <c r="H58">
        <v>8.3762376237623766</v>
      </c>
    </row>
    <row r="59" spans="1:8" x14ac:dyDescent="0.35">
      <c r="A59" t="s">
        <v>10</v>
      </c>
      <c r="B59">
        <v>2</v>
      </c>
      <c r="C59">
        <v>93.646210619831876</v>
      </c>
      <c r="D59">
        <v>5.7192362012802107</v>
      </c>
      <c r="E59">
        <v>0.63455317888790153</v>
      </c>
      <c r="F59">
        <v>16.373901570784891</v>
      </c>
      <c r="G59">
        <v>147.57819160870551</v>
      </c>
      <c r="H59">
        <v>9.0130132376037722</v>
      </c>
    </row>
    <row r="60" spans="1:8" x14ac:dyDescent="0.35">
      <c r="A60" t="s">
        <v>10</v>
      </c>
      <c r="B60">
        <v>3</v>
      </c>
      <c r="C60">
        <v>99.158946083969809</v>
      </c>
      <c r="D60">
        <v>0.2612193248067971</v>
      </c>
      <c r="E60">
        <v>0.57983459122339243</v>
      </c>
      <c r="G60">
        <v>171.0124707716289</v>
      </c>
      <c r="H60">
        <v>0.45050662509742773</v>
      </c>
    </row>
    <row r="61" spans="1:8" x14ac:dyDescent="0.35">
      <c r="A61" t="s">
        <v>10</v>
      </c>
      <c r="B61">
        <v>4</v>
      </c>
      <c r="C61">
        <v>93.003136851707097</v>
      </c>
      <c r="D61">
        <v>7.4767022131921728</v>
      </c>
      <c r="E61">
        <v>0.67908111836171681</v>
      </c>
      <c r="F61">
        <v>12.43905858489441</v>
      </c>
      <c r="G61">
        <v>136.95438488420521</v>
      </c>
      <c r="H61">
        <v>11.01002812628588</v>
      </c>
    </row>
    <row r="62" spans="1:8" x14ac:dyDescent="0.35">
      <c r="A62" t="s">
        <v>10</v>
      </c>
      <c r="B62">
        <v>5</v>
      </c>
      <c r="C62">
        <v>91.002175181707244</v>
      </c>
      <c r="D62">
        <v>8.3187436999310318</v>
      </c>
      <c r="E62">
        <v>1.4423972562996079</v>
      </c>
      <c r="F62">
        <v>10.93941326530612</v>
      </c>
      <c r="G62">
        <v>63.090923657999987</v>
      </c>
      <c r="H62">
        <v>5.7673041622890464</v>
      </c>
    </row>
    <row r="63" spans="1:8" x14ac:dyDescent="0.35">
      <c r="A63" t="s">
        <v>10</v>
      </c>
      <c r="B63">
        <v>6</v>
      </c>
      <c r="C63">
        <v>96.516249350331719</v>
      </c>
      <c r="D63">
        <v>4.2373658626066222</v>
      </c>
      <c r="E63">
        <v>0.8627474471161608</v>
      </c>
      <c r="F63">
        <v>22.77741702741703</v>
      </c>
      <c r="G63">
        <v>111.87080260040079</v>
      </c>
      <c r="H63">
        <v>4.9114788768955941</v>
      </c>
    </row>
    <row r="64" spans="1:8" x14ac:dyDescent="0.35">
      <c r="A64" t="s">
        <v>10</v>
      </c>
      <c r="B64">
        <v>7</v>
      </c>
      <c r="C64">
        <v>89.165376357878216</v>
      </c>
      <c r="D64">
        <v>9.3922263858221768</v>
      </c>
      <c r="E64">
        <v>0.45118363087714008</v>
      </c>
      <c r="F64">
        <v>9.4935292970020182</v>
      </c>
      <c r="G64">
        <v>197.62546833654619</v>
      </c>
      <c r="H64">
        <v>20.816859795119061</v>
      </c>
    </row>
    <row r="65" spans="1:8" x14ac:dyDescent="0.35">
      <c r="A65" t="s">
        <v>10</v>
      </c>
      <c r="B65">
        <v>8</v>
      </c>
      <c r="C65">
        <v>91.034914232753778</v>
      </c>
      <c r="D65">
        <v>8.1023383201300536</v>
      </c>
      <c r="E65">
        <v>0.75069660029953023</v>
      </c>
      <c r="F65">
        <v>11.235634780465761</v>
      </c>
      <c r="G65">
        <v>121.26725257105279</v>
      </c>
      <c r="H65">
        <v>10.793093130962889</v>
      </c>
    </row>
    <row r="66" spans="1:8" x14ac:dyDescent="0.35">
      <c r="A66" t="s">
        <v>10</v>
      </c>
      <c r="B66">
        <v>9</v>
      </c>
      <c r="C66">
        <v>89.59771073255483</v>
      </c>
      <c r="D66">
        <v>9.9511056365680357</v>
      </c>
      <c r="E66">
        <v>0.71787717864341072</v>
      </c>
      <c r="F66">
        <v>9.0037945535723942</v>
      </c>
      <c r="G66">
        <v>124.80924787422509</v>
      </c>
      <c r="H66">
        <v>13.86184981583183</v>
      </c>
    </row>
    <row r="67" spans="1:8" x14ac:dyDescent="0.35">
      <c r="A67" t="s">
        <v>10</v>
      </c>
      <c r="B67">
        <v>10</v>
      </c>
      <c r="C67">
        <v>86.802269446346969</v>
      </c>
      <c r="D67">
        <v>12.4470339533535</v>
      </c>
      <c r="E67">
        <v>2.4478684517689409E-2</v>
      </c>
      <c r="F67">
        <v>6.9737312336133348</v>
      </c>
    </row>
    <row r="68" spans="1:8" x14ac:dyDescent="0.35">
      <c r="A68" t="s">
        <v>10</v>
      </c>
      <c r="B68">
        <v>11</v>
      </c>
      <c r="C68">
        <v>85.722220558092161</v>
      </c>
      <c r="D68">
        <v>13.55990226326443</v>
      </c>
      <c r="E68">
        <v>2.8558941077848061</v>
      </c>
      <c r="F68">
        <v>6.3217432466548837</v>
      </c>
      <c r="G68">
        <v>30.01589601113859</v>
      </c>
      <c r="H68">
        <v>4.7480409817373301</v>
      </c>
    </row>
    <row r="69" spans="1:8" x14ac:dyDescent="0.35">
      <c r="A69" t="s">
        <v>10</v>
      </c>
      <c r="B69">
        <v>12</v>
      </c>
      <c r="C69">
        <v>89.554171635528462</v>
      </c>
      <c r="D69">
        <v>11.02866481162493</v>
      </c>
      <c r="E69">
        <v>2.2219672333504579</v>
      </c>
      <c r="F69">
        <v>8.1201281537845418</v>
      </c>
      <c r="G69">
        <v>40.304001918377338</v>
      </c>
      <c r="H69">
        <v>4.963468698408767</v>
      </c>
    </row>
    <row r="70" spans="1:8" x14ac:dyDescent="0.35">
      <c r="A70" t="s">
        <v>10</v>
      </c>
      <c r="B70">
        <v>13</v>
      </c>
      <c r="C70">
        <v>92.649698681663679</v>
      </c>
      <c r="D70">
        <v>7.3258226338186381</v>
      </c>
      <c r="E70">
        <v>1.6750076600960071</v>
      </c>
      <c r="F70">
        <v>12.6470027071034</v>
      </c>
      <c r="G70">
        <v>55.31299998732738</v>
      </c>
      <c r="H70">
        <v>4.373605451690139</v>
      </c>
    </row>
    <row r="71" spans="1:8" ht="15.75" customHeight="1" x14ac:dyDescent="0.35">
      <c r="A71" t="s">
        <v>10</v>
      </c>
      <c r="B71">
        <v>14</v>
      </c>
      <c r="C71">
        <v>89.330784981005962</v>
      </c>
      <c r="D71">
        <v>7.8133209112092361</v>
      </c>
      <c r="E71">
        <v>1.1811332517637481</v>
      </c>
      <c r="F71">
        <v>11.433139121784849</v>
      </c>
      <c r="G71">
        <v>75.631419949960105</v>
      </c>
      <c r="H71">
        <v>6.6151053655816208</v>
      </c>
    </row>
    <row r="72" spans="1:8" x14ac:dyDescent="0.35">
      <c r="A72" t="s">
        <v>10</v>
      </c>
      <c r="B72">
        <v>15</v>
      </c>
      <c r="C72">
        <v>90.426703593691457</v>
      </c>
      <c r="D72">
        <v>7.3513291729580832</v>
      </c>
      <c r="E72">
        <v>2.1550671976454669</v>
      </c>
      <c r="F72">
        <v>12.30072840790843</v>
      </c>
      <c r="G72">
        <v>41.96003896884875</v>
      </c>
      <c r="H72">
        <v>3.411183271217634</v>
      </c>
    </row>
    <row r="73" spans="1:8" x14ac:dyDescent="0.35">
      <c r="A73" t="s">
        <v>10</v>
      </c>
      <c r="B73">
        <v>16</v>
      </c>
      <c r="C73">
        <v>92.574813604330501</v>
      </c>
      <c r="D73">
        <v>5.7501787355734857</v>
      </c>
      <c r="E73">
        <v>1.050327731711324</v>
      </c>
      <c r="F73">
        <v>16.09946714031971</v>
      </c>
      <c r="G73">
        <v>88.138978729521085</v>
      </c>
      <c r="H73">
        <v>5.4746519224095742</v>
      </c>
    </row>
    <row r="74" spans="1:8" x14ac:dyDescent="0.35">
      <c r="A74" t="s">
        <v>10</v>
      </c>
      <c r="B74">
        <v>17</v>
      </c>
      <c r="C74">
        <v>97.04716687059063</v>
      </c>
      <c r="D74">
        <v>1.7716998776456221</v>
      </c>
      <c r="E74">
        <v>0.40617918420200722</v>
      </c>
      <c r="G74">
        <v>238.92698258590639</v>
      </c>
      <c r="H74">
        <v>4.3618677336367222</v>
      </c>
    </row>
    <row r="75" spans="1:8" x14ac:dyDescent="0.35">
      <c r="A75" t="s">
        <v>10</v>
      </c>
      <c r="B75">
        <v>18</v>
      </c>
      <c r="C75">
        <v>86.123878005063375</v>
      </c>
      <c r="D75">
        <v>11.721054797291171</v>
      </c>
      <c r="E75">
        <v>2.7177797973339448</v>
      </c>
      <c r="F75">
        <v>7.3477924550755711</v>
      </c>
      <c r="G75">
        <v>31.689056666602699</v>
      </c>
      <c r="H75">
        <v>4.3127315939242576</v>
      </c>
    </row>
    <row r="76" spans="1:8" x14ac:dyDescent="0.35">
      <c r="A76" t="s">
        <v>10</v>
      </c>
      <c r="B76">
        <v>19</v>
      </c>
      <c r="C76">
        <v>98.187514281020256</v>
      </c>
      <c r="D76">
        <v>0.76215798726840978</v>
      </c>
      <c r="E76">
        <v>8.7317224293819412E-2</v>
      </c>
      <c r="H76">
        <v>8.7286098869081634</v>
      </c>
    </row>
    <row r="77" spans="1:8" x14ac:dyDescent="0.35">
      <c r="A77" t="s">
        <v>10</v>
      </c>
      <c r="B77">
        <v>20</v>
      </c>
      <c r="C77">
        <v>80.558325476829353</v>
      </c>
      <c r="D77">
        <v>19.511703169192831</v>
      </c>
      <c r="E77">
        <v>0.21047961748903241</v>
      </c>
      <c r="F77">
        <v>4.128718276322668</v>
      </c>
      <c r="G77">
        <v>382.73694354764331</v>
      </c>
    </row>
    <row r="78" spans="1:8" x14ac:dyDescent="0.35">
      <c r="A78" t="s">
        <v>10</v>
      </c>
      <c r="B78">
        <v>21</v>
      </c>
      <c r="C78">
        <v>86.467101003561027</v>
      </c>
      <c r="D78">
        <v>13.126719812236979</v>
      </c>
      <c r="E78">
        <v>0.44665133204327762</v>
      </c>
      <c r="F78">
        <v>6.5871064698855504</v>
      </c>
      <c r="G78">
        <v>193.58970812423979</v>
      </c>
    </row>
    <row r="79" spans="1:8" x14ac:dyDescent="0.35">
      <c r="A79" t="s">
        <v>10</v>
      </c>
      <c r="B79">
        <v>22</v>
      </c>
      <c r="C79">
        <v>77.80228385460633</v>
      </c>
      <c r="D79">
        <v>19.47993634805972</v>
      </c>
      <c r="E79">
        <v>0</v>
      </c>
      <c r="F79">
        <v>3.993970127235849</v>
      </c>
    </row>
    <row r="80" spans="1:8" x14ac:dyDescent="0.35">
      <c r="A80" t="s">
        <v>10</v>
      </c>
      <c r="B80">
        <v>24</v>
      </c>
      <c r="C80">
        <v>101.55754916941881</v>
      </c>
      <c r="D80">
        <v>12.729562963233411</v>
      </c>
      <c r="E80">
        <v>6.8198047753082164E-2</v>
      </c>
      <c r="F80">
        <v>7.9780860869101176</v>
      </c>
    </row>
    <row r="81" spans="1:8" x14ac:dyDescent="0.35">
      <c r="A81" t="s">
        <v>10</v>
      </c>
      <c r="B81">
        <v>25</v>
      </c>
      <c r="C81">
        <v>86.823785704723306</v>
      </c>
      <c r="D81">
        <v>12.930673318829569</v>
      </c>
      <c r="E81">
        <v>1.3285935619171609</v>
      </c>
      <c r="F81">
        <v>6.7145602989050071</v>
      </c>
      <c r="G81">
        <v>65.350147850661386</v>
      </c>
      <c r="H81">
        <v>9.7326027232667069</v>
      </c>
    </row>
    <row r="82" spans="1:8" x14ac:dyDescent="0.35">
      <c r="A82" t="s">
        <v>10</v>
      </c>
      <c r="B82">
        <v>26</v>
      </c>
      <c r="C82">
        <v>109.9491902060733</v>
      </c>
      <c r="D82">
        <v>8.9182863714072873</v>
      </c>
      <c r="E82">
        <v>0.70655765610606003</v>
      </c>
      <c r="F82">
        <v>12.32851084021914</v>
      </c>
      <c r="G82">
        <v>155.612481523474</v>
      </c>
      <c r="H82">
        <v>12.622163661147249</v>
      </c>
    </row>
    <row r="83" spans="1:8" x14ac:dyDescent="0.35">
      <c r="A83" t="s">
        <v>10</v>
      </c>
      <c r="B83">
        <v>27</v>
      </c>
      <c r="C83">
        <v>82.69819470984406</v>
      </c>
      <c r="D83">
        <v>8.4909611959728419</v>
      </c>
      <c r="E83">
        <v>1.7507139558553571</v>
      </c>
      <c r="F83">
        <v>9.7395563118421489</v>
      </c>
      <c r="G83">
        <v>47.236839823693359</v>
      </c>
      <c r="H83">
        <v>4.8499991489611229</v>
      </c>
    </row>
    <row r="84" spans="1:8" x14ac:dyDescent="0.35">
      <c r="A84" t="s">
        <v>10</v>
      </c>
      <c r="B84">
        <v>28</v>
      </c>
      <c r="C84">
        <v>105.2685012564789</v>
      </c>
      <c r="D84">
        <v>12.761490792099041</v>
      </c>
      <c r="E84">
        <v>1.873848995495258</v>
      </c>
      <c r="F84">
        <v>8.2489187957298267</v>
      </c>
      <c r="G84">
        <v>56.177686414190752</v>
      </c>
      <c r="H84">
        <v>6.8103090605367527</v>
      </c>
    </row>
    <row r="85" spans="1:8" x14ac:dyDescent="0.35">
      <c r="A85" t="s">
        <v>10</v>
      </c>
      <c r="B85">
        <v>29</v>
      </c>
      <c r="C85">
        <v>101.05706974017281</v>
      </c>
      <c r="D85">
        <v>11.78538170384908</v>
      </c>
      <c r="E85">
        <v>0.44193212881374278</v>
      </c>
      <c r="F85">
        <v>8.5747812230101754</v>
      </c>
      <c r="G85">
        <v>228.6710179036663</v>
      </c>
      <c r="H85">
        <v>26.667854485900389</v>
      </c>
    </row>
    <row r="86" spans="1:8" x14ac:dyDescent="0.35">
      <c r="A86" t="s">
        <v>10</v>
      </c>
      <c r="B86">
        <v>30</v>
      </c>
      <c r="C86">
        <v>85.909915645983787</v>
      </c>
      <c r="D86">
        <v>7.6156057079708033</v>
      </c>
      <c r="E86">
        <v>1.0492360680176691</v>
      </c>
      <c r="F86">
        <v>11.28077252687425</v>
      </c>
      <c r="G86">
        <v>81.87853836200479</v>
      </c>
      <c r="H86">
        <v>7.2582385795782196</v>
      </c>
    </row>
    <row r="87" spans="1:8" x14ac:dyDescent="0.35">
      <c r="A87" t="s">
        <v>10</v>
      </c>
      <c r="B87">
        <v>31</v>
      </c>
      <c r="C87">
        <v>87.50806064004486</v>
      </c>
      <c r="D87">
        <v>1.353335385635464</v>
      </c>
      <c r="E87">
        <v>0.72426713380000163</v>
      </c>
      <c r="G87">
        <v>120.822907123947</v>
      </c>
      <c r="H87">
        <v>1.8685583294867181</v>
      </c>
    </row>
    <row r="88" spans="1:8" x14ac:dyDescent="0.35">
      <c r="A88" t="s">
        <v>10</v>
      </c>
      <c r="B88">
        <v>32</v>
      </c>
      <c r="C88">
        <v>90.633680336173839</v>
      </c>
      <c r="D88">
        <v>4.56663199774201</v>
      </c>
      <c r="E88">
        <v>0.71905620699534578</v>
      </c>
      <c r="F88">
        <v>19.846941987221221</v>
      </c>
      <c r="G88">
        <v>126.04533477973369</v>
      </c>
      <c r="H88">
        <v>6.3508693107930689</v>
      </c>
    </row>
    <row r="89" spans="1:8" x14ac:dyDescent="0.35">
      <c r="A89" t="s">
        <v>10</v>
      </c>
      <c r="B89">
        <v>33</v>
      </c>
      <c r="C89">
        <v>96.772815618869274</v>
      </c>
      <c r="D89">
        <v>2.623090170044172</v>
      </c>
      <c r="E89">
        <v>0.94467569803945262</v>
      </c>
      <c r="G89">
        <v>102.4402509979967</v>
      </c>
      <c r="H89">
        <v>2.7767096957062019</v>
      </c>
    </row>
    <row r="90" spans="1:8" x14ac:dyDescent="0.35">
      <c r="A90" t="s">
        <v>10</v>
      </c>
      <c r="B90">
        <v>34</v>
      </c>
      <c r="C90">
        <v>94.991435873444246</v>
      </c>
      <c r="D90">
        <v>12.272308290380829</v>
      </c>
      <c r="E90">
        <v>2.9078907814029051</v>
      </c>
      <c r="F90">
        <v>7.7403071717078351</v>
      </c>
      <c r="G90">
        <v>32.666782563138717</v>
      </c>
      <c r="H90">
        <v>4.2203470532205074</v>
      </c>
    </row>
    <row r="91" spans="1:8" x14ac:dyDescent="0.35">
      <c r="A91" t="s">
        <v>10</v>
      </c>
      <c r="B91">
        <v>35</v>
      </c>
      <c r="C91">
        <v>96.327673761938158</v>
      </c>
      <c r="D91">
        <v>9.233751034235862</v>
      </c>
      <c r="F91">
        <v>10.43212811400104</v>
      </c>
    </row>
    <row r="92" spans="1:8" x14ac:dyDescent="0.35">
      <c r="A92" t="s">
        <v>10</v>
      </c>
      <c r="B92">
        <v>36</v>
      </c>
      <c r="C92">
        <v>87.003424575819167</v>
      </c>
      <c r="D92">
        <v>10.775204360902389</v>
      </c>
      <c r="F92">
        <v>8.0744106247775047</v>
      </c>
    </row>
    <row r="93" spans="1:8" x14ac:dyDescent="0.35">
      <c r="A93" t="s">
        <v>10</v>
      </c>
      <c r="B93">
        <v>37</v>
      </c>
      <c r="C93">
        <v>90.047192758768787</v>
      </c>
      <c r="D93">
        <v>9.4578085924258222</v>
      </c>
      <c r="F93">
        <v>9.5209362590486393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540A-9495-461C-8579-A5C013961036}">
  <dimension ref="A1:G477"/>
  <sheetViews>
    <sheetView zoomScale="92" zoomScaleNormal="130" workbookViewId="0">
      <selection activeCell="AA14" sqref="AA14"/>
    </sheetView>
  </sheetViews>
  <sheetFormatPr defaultRowHeight="14.5" x14ac:dyDescent="0.35"/>
  <cols>
    <col min="1" max="1" width="17.453125" bestFit="1" customWidth="1"/>
    <col min="7" max="7" width="12.7265625" bestFit="1" customWidth="1"/>
  </cols>
  <sheetData>
    <row r="1" spans="1:7" x14ac:dyDescent="0.35">
      <c r="A1" t="s">
        <v>135</v>
      </c>
      <c r="B1" t="s">
        <v>14</v>
      </c>
      <c r="C1" t="s">
        <v>136</v>
      </c>
      <c r="D1" t="s">
        <v>97</v>
      </c>
      <c r="E1" t="s">
        <v>103</v>
      </c>
      <c r="F1" t="s">
        <v>104</v>
      </c>
      <c r="G1" t="s">
        <v>102</v>
      </c>
    </row>
    <row r="2" spans="1:7" x14ac:dyDescent="0.35">
      <c r="A2" t="s">
        <v>106</v>
      </c>
      <c r="B2" t="s">
        <v>21</v>
      </c>
      <c r="C2">
        <v>1.84823883069497</v>
      </c>
      <c r="D2">
        <v>12</v>
      </c>
      <c r="E2">
        <f>C2/D2</f>
        <v>0.15401990255791417</v>
      </c>
      <c r="F2">
        <f>SUM(E2:E5)</f>
        <v>0.16980964400092075</v>
      </c>
      <c r="G2" s="2">
        <f>E2/F2*100</f>
        <v>90.701504890428396</v>
      </c>
    </row>
    <row r="3" spans="1:7" x14ac:dyDescent="0.35">
      <c r="A3" t="s">
        <v>106</v>
      </c>
      <c r="B3" t="s">
        <v>0</v>
      </c>
      <c r="C3">
        <v>0.195681511470985</v>
      </c>
      <c r="D3">
        <v>14</v>
      </c>
      <c r="E3">
        <f>C3/D3</f>
        <v>1.3977250819356071E-2</v>
      </c>
      <c r="F3">
        <v>0.16980964400092058</v>
      </c>
      <c r="G3" s="2">
        <f t="shared" ref="G3:G13" si="0">E3/F3*100</f>
        <v>8.231128980683982</v>
      </c>
    </row>
    <row r="4" spans="1:7" x14ac:dyDescent="0.35">
      <c r="A4" t="s">
        <v>106</v>
      </c>
      <c r="B4" t="s">
        <v>62</v>
      </c>
      <c r="C4">
        <v>4.1835357624831301E-2</v>
      </c>
      <c r="D4">
        <v>31</v>
      </c>
      <c r="E4">
        <f>C4/D4</f>
        <v>1.3495276653171387E-3</v>
      </c>
      <c r="F4">
        <v>0.16980964400092058</v>
      </c>
      <c r="G4" s="2">
        <f t="shared" si="0"/>
        <v>0.79472969468672972</v>
      </c>
    </row>
    <row r="5" spans="1:7" x14ac:dyDescent="0.35">
      <c r="A5" t="s">
        <v>106</v>
      </c>
      <c r="B5" t="s">
        <v>92</v>
      </c>
      <c r="C5">
        <v>1.1111111E-2</v>
      </c>
      <c r="D5">
        <v>24</v>
      </c>
      <c r="E5">
        <f>C5/D5</f>
        <v>4.6296295833333335E-4</v>
      </c>
      <c r="F5">
        <v>0.16980964400092058</v>
      </c>
      <c r="G5" s="2">
        <f t="shared" si="0"/>
        <v>0.27263643420088879</v>
      </c>
    </row>
    <row r="6" spans="1:7" x14ac:dyDescent="0.35">
      <c r="A6" t="s">
        <v>106</v>
      </c>
      <c r="B6" t="s">
        <v>21</v>
      </c>
      <c r="C6">
        <v>1.9120564556661299</v>
      </c>
      <c r="D6">
        <v>12</v>
      </c>
      <c r="E6">
        <f>C6/D6</f>
        <v>0.15933803797217749</v>
      </c>
      <c r="F6">
        <f>SUM(E6:E9)</f>
        <v>0.18121922505032945</v>
      </c>
      <c r="G6" s="2">
        <f>E6/F6*100</f>
        <v>87.925570770940581</v>
      </c>
    </row>
    <row r="7" spans="1:7" x14ac:dyDescent="0.35">
      <c r="A7" t="s">
        <v>106</v>
      </c>
      <c r="B7" t="s">
        <v>0</v>
      </c>
      <c r="C7">
        <v>0.28108808290155401</v>
      </c>
      <c r="D7">
        <v>14</v>
      </c>
      <c r="E7">
        <f t="shared" ref="E7:E51" si="1">C7/D7</f>
        <v>2.0077720207253857E-2</v>
      </c>
      <c r="F7">
        <v>0.18121922505032945</v>
      </c>
      <c r="G7" s="2">
        <f t="shared" si="0"/>
        <v>11.079244049122124</v>
      </c>
    </row>
    <row r="8" spans="1:7" x14ac:dyDescent="0.35">
      <c r="A8" t="s">
        <v>106</v>
      </c>
      <c r="B8" t="s">
        <v>62</v>
      </c>
      <c r="C8">
        <v>4.0155440414507797E-2</v>
      </c>
      <c r="D8">
        <v>31</v>
      </c>
      <c r="E8">
        <f t="shared" si="1"/>
        <v>1.2953367875647675E-3</v>
      </c>
      <c r="F8">
        <v>0.18121922505032945</v>
      </c>
      <c r="G8" s="2">
        <f t="shared" si="0"/>
        <v>0.71478993865304186</v>
      </c>
    </row>
    <row r="9" spans="1:7" x14ac:dyDescent="0.35">
      <c r="A9" t="s">
        <v>106</v>
      </c>
      <c r="B9" t="s">
        <v>92</v>
      </c>
      <c r="C9">
        <v>1.2195121999999999E-2</v>
      </c>
      <c r="D9">
        <v>24</v>
      </c>
      <c r="E9">
        <f t="shared" si="1"/>
        <v>5.0813008333333326E-4</v>
      </c>
      <c r="F9">
        <v>0.18121922505032945</v>
      </c>
      <c r="G9" s="2">
        <f t="shared" si="0"/>
        <v>0.28039524128425769</v>
      </c>
    </row>
    <row r="10" spans="1:7" x14ac:dyDescent="0.35">
      <c r="A10" t="s">
        <v>106</v>
      </c>
      <c r="B10" t="s">
        <v>21</v>
      </c>
      <c r="C10">
        <v>2.0934133430314801</v>
      </c>
      <c r="D10">
        <v>12</v>
      </c>
      <c r="E10">
        <f t="shared" si="1"/>
        <v>0.17445111191929</v>
      </c>
      <c r="F10">
        <f>SUM(E10:E13)</f>
        <v>0.22871856489748749</v>
      </c>
      <c r="G10" s="2">
        <f>E10/F10*100</f>
        <v>76.273262731199637</v>
      </c>
    </row>
    <row r="11" spans="1:7" x14ac:dyDescent="0.35">
      <c r="A11" t="s">
        <v>106</v>
      </c>
      <c r="B11" t="s">
        <v>0</v>
      </c>
      <c r="C11">
        <v>0.16301369863013701</v>
      </c>
      <c r="D11">
        <v>14</v>
      </c>
      <c r="E11">
        <f t="shared" si="1"/>
        <v>1.1643835616438359E-2</v>
      </c>
      <c r="F11">
        <v>0.22871856489748749</v>
      </c>
      <c r="G11" s="2">
        <f t="shared" si="0"/>
        <v>5.0909009601634958</v>
      </c>
    </row>
    <row r="12" spans="1:7" x14ac:dyDescent="0.35">
      <c r="A12" t="s">
        <v>106</v>
      </c>
      <c r="B12" t="s">
        <v>62</v>
      </c>
      <c r="C12">
        <v>1.3031640198812</v>
      </c>
      <c r="D12">
        <v>31</v>
      </c>
      <c r="E12">
        <f t="shared" si="1"/>
        <v>4.2037549028425804E-2</v>
      </c>
      <c r="F12">
        <v>0.22871856489748749</v>
      </c>
      <c r="G12" s="2">
        <f t="shared" si="0"/>
        <v>18.379596359948827</v>
      </c>
    </row>
    <row r="13" spans="1:7" x14ac:dyDescent="0.35">
      <c r="A13" t="s">
        <v>106</v>
      </c>
      <c r="B13" t="s">
        <v>92</v>
      </c>
      <c r="C13">
        <v>1.4065640000000001E-2</v>
      </c>
      <c r="D13">
        <v>24</v>
      </c>
      <c r="E13">
        <f t="shared" si="1"/>
        <v>5.860683333333334E-4</v>
      </c>
      <c r="F13">
        <v>0.22871856489748749</v>
      </c>
      <c r="G13" s="2">
        <f t="shared" si="0"/>
        <v>0.25623994868803562</v>
      </c>
    </row>
    <row r="14" spans="1:7" x14ac:dyDescent="0.35">
      <c r="A14" t="s">
        <v>106</v>
      </c>
      <c r="B14" t="s">
        <v>21</v>
      </c>
      <c r="C14">
        <v>2.5564085158103702</v>
      </c>
      <c r="D14">
        <v>12</v>
      </c>
      <c r="E14">
        <f t="shared" si="1"/>
        <v>0.21303404298419751</v>
      </c>
      <c r="F14">
        <f>SUM(E14:E17)</f>
        <v>0.25054649601109591</v>
      </c>
      <c r="G14" s="2">
        <f>E14/F14*100</f>
        <v>85.027747893454048</v>
      </c>
    </row>
    <row r="15" spans="1:7" x14ac:dyDescent="0.35">
      <c r="A15" t="s">
        <v>106</v>
      </c>
      <c r="B15" t="s">
        <v>0</v>
      </c>
      <c r="C15">
        <v>0.48951686417502299</v>
      </c>
      <c r="D15">
        <v>14</v>
      </c>
      <c r="E15">
        <f t="shared" si="1"/>
        <v>3.4965490298215926E-2</v>
      </c>
      <c r="F15">
        <f>SUM(E14:E17)</f>
        <v>0.25054649601109591</v>
      </c>
      <c r="G15" s="2">
        <f t="shared" ref="G15:G17" si="2">E15/F15*100</f>
        <v>13.955689205355087</v>
      </c>
    </row>
    <row r="16" spans="1:7" x14ac:dyDescent="0.35">
      <c r="A16" t="s">
        <v>106</v>
      </c>
      <c r="B16" t="s">
        <v>62</v>
      </c>
      <c r="C16">
        <v>5.8441138630824202E-2</v>
      </c>
      <c r="D16">
        <v>31</v>
      </c>
      <c r="E16">
        <f t="shared" si="1"/>
        <v>1.8851980203491677E-3</v>
      </c>
      <c r="F16">
        <f>SUM(E14:E17)</f>
        <v>0.25054649601109591</v>
      </c>
      <c r="G16" s="2">
        <f t="shared" si="2"/>
        <v>0.75243439854999139</v>
      </c>
    </row>
    <row r="17" spans="1:7" x14ac:dyDescent="0.35">
      <c r="A17" t="s">
        <v>106</v>
      </c>
      <c r="B17" t="s">
        <v>92</v>
      </c>
      <c r="C17">
        <v>1.5882352999999998E-2</v>
      </c>
      <c r="D17">
        <v>24</v>
      </c>
      <c r="E17">
        <f t="shared" si="1"/>
        <v>6.617647083333333E-4</v>
      </c>
      <c r="F17">
        <f>SUM(E14:E17)</f>
        <v>0.25054649601109591</v>
      </c>
      <c r="G17" s="2">
        <f t="shared" si="2"/>
        <v>0.26412850264089338</v>
      </c>
    </row>
    <row r="18" spans="1:7" x14ac:dyDescent="0.35">
      <c r="A18" t="s">
        <v>106</v>
      </c>
      <c r="B18" t="s">
        <v>21</v>
      </c>
      <c r="C18">
        <v>2.9712432354296401</v>
      </c>
      <c r="D18">
        <v>12</v>
      </c>
      <c r="E18">
        <f t="shared" si="1"/>
        <v>0.24760360295247</v>
      </c>
      <c r="F18">
        <f>SUM(E18:E21)</f>
        <v>0.2619411430309892</v>
      </c>
      <c r="G18" s="2">
        <f>E18/F18*100</f>
        <v>94.526426848178261</v>
      </c>
    </row>
    <row r="19" spans="1:7" x14ac:dyDescent="0.35">
      <c r="A19" t="s">
        <v>106</v>
      </c>
      <c r="B19" t="s">
        <v>0</v>
      </c>
      <c r="C19">
        <v>0.18146214099216701</v>
      </c>
      <c r="D19">
        <v>14</v>
      </c>
      <c r="E19">
        <f t="shared" si="1"/>
        <v>1.2961581499440501E-2</v>
      </c>
      <c r="F19">
        <f>SUM(E18:E21)</f>
        <v>0.2619411430309892</v>
      </c>
      <c r="G19" s="2">
        <f t="shared" ref="G19:G21" si="3">E19/F19*100</f>
        <v>4.9482801172273527</v>
      </c>
    </row>
    <row r="20" spans="1:7" x14ac:dyDescent="0.35">
      <c r="A20" t="s">
        <v>106</v>
      </c>
      <c r="B20" t="s">
        <v>62</v>
      </c>
      <c r="C20">
        <v>2.01333489931067E-2</v>
      </c>
      <c r="D20">
        <v>31</v>
      </c>
      <c r="E20">
        <f t="shared" si="1"/>
        <v>6.4946287074537745E-4</v>
      </c>
      <c r="F20">
        <f>SUM(E18:E21)</f>
        <v>0.2619411430309892</v>
      </c>
      <c r="G20" s="2">
        <f t="shared" si="3"/>
        <v>0.24794229086361669</v>
      </c>
    </row>
    <row r="21" spans="1:7" x14ac:dyDescent="0.35">
      <c r="A21" t="s">
        <v>106</v>
      </c>
      <c r="B21" t="s">
        <v>92</v>
      </c>
      <c r="C21">
        <v>1.7435896999999999E-2</v>
      </c>
      <c r="D21">
        <v>24</v>
      </c>
      <c r="E21">
        <f t="shared" si="1"/>
        <v>7.2649570833333325E-4</v>
      </c>
      <c r="F21">
        <f>SUM(E18:E21)</f>
        <v>0.2619411430309892</v>
      </c>
      <c r="G21" s="2">
        <f t="shared" si="3"/>
        <v>0.27735074373077179</v>
      </c>
    </row>
    <row r="22" spans="1:7" x14ac:dyDescent="0.35">
      <c r="A22" t="s">
        <v>106</v>
      </c>
      <c r="B22" t="s">
        <v>21</v>
      </c>
      <c r="C22">
        <v>2.0463630513248598</v>
      </c>
      <c r="D22">
        <v>12</v>
      </c>
      <c r="E22">
        <f t="shared" si="1"/>
        <v>0.17053025427707166</v>
      </c>
      <c r="F22">
        <f>SUM(E22:E25)</f>
        <v>0.17221289625181838</v>
      </c>
      <c r="G22" s="2">
        <f>E22/F22*100</f>
        <v>99.022929170016241</v>
      </c>
    </row>
    <row r="23" spans="1:7" x14ac:dyDescent="0.35">
      <c r="A23" t="s">
        <v>106</v>
      </c>
      <c r="B23" t="s">
        <v>0</v>
      </c>
      <c r="C23">
        <v>5.3908355795148303E-3</v>
      </c>
      <c r="D23">
        <v>14</v>
      </c>
      <c r="E23">
        <f t="shared" si="1"/>
        <v>3.8505968425105928E-4</v>
      </c>
      <c r="F23">
        <f>SUM(E22:E25)</f>
        <v>0.17221289625181838</v>
      </c>
      <c r="G23" s="2">
        <f t="shared" ref="G23:G25" si="4">E23/F23*100</f>
        <v>0.22359515032370492</v>
      </c>
    </row>
    <row r="24" spans="1:7" x14ac:dyDescent="0.35">
      <c r="A24" t="s">
        <v>106</v>
      </c>
      <c r="B24" t="s">
        <v>62</v>
      </c>
      <c r="C24">
        <v>1.19661627136981E-2</v>
      </c>
      <c r="D24">
        <v>31</v>
      </c>
      <c r="E24">
        <f t="shared" si="1"/>
        <v>3.8600524882897097E-4</v>
      </c>
      <c r="F24">
        <f>SUM(E22:E25)</f>
        <v>0.17221289625181838</v>
      </c>
      <c r="G24" s="2">
        <f t="shared" si="4"/>
        <v>0.22414421755298433</v>
      </c>
    </row>
    <row r="25" spans="1:7" x14ac:dyDescent="0.35">
      <c r="A25" t="s">
        <v>106</v>
      </c>
      <c r="B25" t="s">
        <v>92</v>
      </c>
      <c r="C25">
        <v>2.1877849000000001E-2</v>
      </c>
      <c r="D25">
        <v>24</v>
      </c>
      <c r="E25">
        <f t="shared" si="1"/>
        <v>9.1157704166666676E-4</v>
      </c>
      <c r="F25">
        <f>SUM(E22:E25)</f>
        <v>0.17221289625181838</v>
      </c>
      <c r="G25" s="2">
        <f t="shared" si="4"/>
        <v>0.52933146210706128</v>
      </c>
    </row>
    <row r="26" spans="1:7" x14ac:dyDescent="0.35">
      <c r="A26" t="s">
        <v>106</v>
      </c>
      <c r="B26" t="s">
        <v>21</v>
      </c>
      <c r="C26">
        <v>3.07006552308032</v>
      </c>
      <c r="D26">
        <v>12</v>
      </c>
      <c r="E26">
        <f t="shared" si="1"/>
        <v>0.25583879359002665</v>
      </c>
      <c r="F26">
        <f>SUM(E26:E28)</f>
        <v>0.27473885162966694</v>
      </c>
      <c r="G26" s="2">
        <f>E26/F26*100</f>
        <v>93.120718847177628</v>
      </c>
    </row>
    <row r="27" spans="1:7" x14ac:dyDescent="0.35">
      <c r="A27" t="s">
        <v>106</v>
      </c>
      <c r="B27" t="s">
        <v>0</v>
      </c>
      <c r="C27">
        <v>0.24680851063829801</v>
      </c>
      <c r="D27">
        <v>14</v>
      </c>
      <c r="E27">
        <f t="shared" si="1"/>
        <v>1.7629179331307001E-2</v>
      </c>
      <c r="F27">
        <f>SUM(E26:E28)</f>
        <v>0.27473885162966694</v>
      </c>
      <c r="G27" s="2">
        <f>E27/F27*100</f>
        <v>6.4167041635124029</v>
      </c>
    </row>
    <row r="28" spans="1:7" x14ac:dyDescent="0.35">
      <c r="A28" t="s">
        <v>106</v>
      </c>
      <c r="B28" t="s">
        <v>92</v>
      </c>
      <c r="C28">
        <v>3.0501088999999999E-2</v>
      </c>
      <c r="D28">
        <v>24</v>
      </c>
      <c r="E28">
        <f t="shared" si="1"/>
        <v>1.2708787083333332E-3</v>
      </c>
      <c r="F28">
        <f>SUM(E26:E28)</f>
        <v>0.27473885162966694</v>
      </c>
      <c r="G28" s="2">
        <f t="shared" ref="G28" si="5">E28/F28*100</f>
        <v>0.46257698930998248</v>
      </c>
    </row>
    <row r="29" spans="1:7" x14ac:dyDescent="0.35">
      <c r="A29" t="s">
        <v>106</v>
      </c>
      <c r="B29" t="s">
        <v>21</v>
      </c>
      <c r="C29">
        <v>3.7127705627705598</v>
      </c>
      <c r="D29">
        <v>12</v>
      </c>
      <c r="E29">
        <f t="shared" si="1"/>
        <v>0.30939754689754667</v>
      </c>
      <c r="F29">
        <f>SUM(E29:E32)</f>
        <v>0.33586593185762553</v>
      </c>
      <c r="G29" s="2">
        <f>E29/F29*100</f>
        <v>92.119360003652034</v>
      </c>
    </row>
    <row r="30" spans="1:7" x14ac:dyDescent="0.35">
      <c r="A30" t="s">
        <v>106</v>
      </c>
      <c r="B30" t="s">
        <v>0</v>
      </c>
      <c r="C30">
        <v>0.33939393939393903</v>
      </c>
      <c r="D30">
        <v>14</v>
      </c>
      <c r="E30">
        <f t="shared" si="1"/>
        <v>2.4242424242424215E-2</v>
      </c>
      <c r="F30">
        <f>SUM(E29:E32)</f>
        <v>0.33586593185762553</v>
      </c>
      <c r="G30" s="2">
        <f t="shared" ref="G30:G32" si="6">E30/F30*100</f>
        <v>7.2178872410020567</v>
      </c>
    </row>
    <row r="31" spans="1:7" x14ac:dyDescent="0.35">
      <c r="A31" t="s">
        <v>106</v>
      </c>
      <c r="B31" t="s">
        <v>62</v>
      </c>
      <c r="C31">
        <v>2.7705627705627699E-2</v>
      </c>
      <c r="D31">
        <v>31</v>
      </c>
      <c r="E31">
        <f t="shared" si="1"/>
        <v>8.9372992598799029E-4</v>
      </c>
      <c r="F31">
        <f>SUM(E29:E32)</f>
        <v>0.33586593185762553</v>
      </c>
      <c r="G31" s="2">
        <f t="shared" si="6"/>
        <v>0.26609722547473041</v>
      </c>
    </row>
    <row r="32" spans="1:7" x14ac:dyDescent="0.35">
      <c r="A32" t="s">
        <v>106</v>
      </c>
      <c r="B32" t="s">
        <v>92</v>
      </c>
      <c r="C32">
        <v>3.1973539000000002E-2</v>
      </c>
      <c r="D32">
        <v>24</v>
      </c>
      <c r="E32">
        <f t="shared" si="1"/>
        <v>1.3322307916666667E-3</v>
      </c>
      <c r="F32">
        <f>SUM(E29:E32)</f>
        <v>0.33586593185762553</v>
      </c>
      <c r="G32" s="2">
        <f t="shared" si="6"/>
        <v>0.39665552987118763</v>
      </c>
    </row>
    <row r="33" spans="1:7" x14ac:dyDescent="0.35">
      <c r="A33" t="s">
        <v>106</v>
      </c>
      <c r="B33" t="s">
        <v>21</v>
      </c>
      <c r="C33">
        <v>1.24549256322247</v>
      </c>
      <c r="D33">
        <v>12</v>
      </c>
      <c r="E33">
        <f t="shared" si="1"/>
        <v>0.10379104693520584</v>
      </c>
      <c r="F33">
        <f>SUM(E33:E35)</f>
        <v>0.10905307331071873</v>
      </c>
      <c r="G33" s="2">
        <f>E33/F33*100</f>
        <v>95.174802308853685</v>
      </c>
    </row>
    <row r="34" spans="1:7" x14ac:dyDescent="0.35">
      <c r="A34" t="s">
        <v>106</v>
      </c>
      <c r="B34" t="s">
        <v>0</v>
      </c>
      <c r="C34">
        <v>5.4681027340513701E-2</v>
      </c>
      <c r="D34">
        <v>14</v>
      </c>
      <c r="E34">
        <f t="shared" si="1"/>
        <v>3.9057876671795499E-3</v>
      </c>
      <c r="F34">
        <f>SUM(E33:E35)</f>
        <v>0.10905307331071873</v>
      </c>
      <c r="G34" s="2">
        <f t="shared" ref="G34:G35" si="7">E34/F34*100</f>
        <v>3.5815475424988814</v>
      </c>
    </row>
    <row r="35" spans="1:7" x14ac:dyDescent="0.35">
      <c r="A35" t="s">
        <v>106</v>
      </c>
      <c r="B35" t="s">
        <v>92</v>
      </c>
      <c r="C35">
        <v>3.2549728999999999E-2</v>
      </c>
      <c r="D35">
        <v>24</v>
      </c>
      <c r="E35">
        <f t="shared" si="1"/>
        <v>1.3562387083333332E-3</v>
      </c>
      <c r="F35">
        <f>SUM(E33:E35)</f>
        <v>0.10905307331071873</v>
      </c>
      <c r="G35" s="2">
        <f t="shared" si="7"/>
        <v>1.2436501486474199</v>
      </c>
    </row>
    <row r="36" spans="1:7" x14ac:dyDescent="0.35">
      <c r="A36" t="s">
        <v>106</v>
      </c>
      <c r="B36" t="s">
        <v>21</v>
      </c>
      <c r="C36">
        <v>1.79506664699228</v>
      </c>
      <c r="D36">
        <v>12</v>
      </c>
      <c r="E36">
        <f t="shared" si="1"/>
        <v>0.14958888724935668</v>
      </c>
      <c r="F36">
        <f>SUM(E36:E39)</f>
        <v>0.16558467098571966</v>
      </c>
      <c r="G36" s="2">
        <f>E36/F36*100</f>
        <v>90.339816094605467</v>
      </c>
    </row>
    <row r="37" spans="1:7" x14ac:dyDescent="0.35">
      <c r="A37" t="s">
        <v>106</v>
      </c>
      <c r="B37" t="s">
        <v>0</v>
      </c>
      <c r="C37">
        <v>0.189083173478924</v>
      </c>
      <c r="D37">
        <v>14</v>
      </c>
      <c r="E37">
        <f t="shared" si="1"/>
        <v>1.3505940962780285E-2</v>
      </c>
      <c r="F37">
        <f>SUM(E36:E39)</f>
        <v>0.16558467098571966</v>
      </c>
      <c r="G37" s="2">
        <f t="shared" ref="G37:G39" si="8">E37/F37*100</f>
        <v>8.1565164712288283</v>
      </c>
    </row>
    <row r="38" spans="1:7" x14ac:dyDescent="0.35">
      <c r="A38" t="s">
        <v>106</v>
      </c>
      <c r="B38" t="s">
        <v>62</v>
      </c>
      <c r="C38">
        <v>2.9038168314396699E-2</v>
      </c>
      <c r="D38">
        <v>31</v>
      </c>
      <c r="E38">
        <f t="shared" si="1"/>
        <v>9.3671510691602255E-4</v>
      </c>
      <c r="F38">
        <f>SUM(E36:E39)</f>
        <v>0.16558467098571966</v>
      </c>
      <c r="G38" s="2">
        <f t="shared" si="8"/>
        <v>0.56570158417430239</v>
      </c>
    </row>
    <row r="39" spans="1:7" x14ac:dyDescent="0.35">
      <c r="A39" t="s">
        <v>106</v>
      </c>
      <c r="B39" t="s">
        <v>92</v>
      </c>
      <c r="C39">
        <v>3.7275063999999997E-2</v>
      </c>
      <c r="D39">
        <v>24</v>
      </c>
      <c r="E39">
        <f t="shared" si="1"/>
        <v>1.5531276666666666E-3</v>
      </c>
      <c r="F39">
        <f>SUM(E36:E39)</f>
        <v>0.16558467098571966</v>
      </c>
      <c r="G39" s="2">
        <f t="shared" si="8"/>
        <v>0.93796584999139876</v>
      </c>
    </row>
    <row r="40" spans="1:7" x14ac:dyDescent="0.35">
      <c r="A40" t="s">
        <v>106</v>
      </c>
      <c r="B40" t="s">
        <v>21</v>
      </c>
      <c r="C40">
        <v>1.6587474835673901</v>
      </c>
      <c r="D40">
        <v>12</v>
      </c>
      <c r="E40">
        <f t="shared" si="1"/>
        <v>0.13822895696394918</v>
      </c>
      <c r="F40">
        <f>SUM(E40:E43)</f>
        <v>0.15098305367198234</v>
      </c>
      <c r="G40" s="2">
        <f>E40/F40*100</f>
        <v>91.552630313238978</v>
      </c>
    </row>
    <row r="41" spans="1:7" x14ac:dyDescent="0.35">
      <c r="A41" t="s">
        <v>106</v>
      </c>
      <c r="B41" t="s">
        <v>0</v>
      </c>
      <c r="C41">
        <v>0.147632734240462</v>
      </c>
      <c r="D41">
        <v>14</v>
      </c>
      <c r="E41">
        <f t="shared" si="1"/>
        <v>1.0545195302890142E-2</v>
      </c>
      <c r="F41">
        <f>SUM(E40:E43)</f>
        <v>0.15098305367198234</v>
      </c>
      <c r="G41" s="2">
        <f t="shared" ref="G41:G43" si="9">E41/F41*100</f>
        <v>6.9843568840514152</v>
      </c>
    </row>
    <row r="42" spans="1:7" x14ac:dyDescent="0.35">
      <c r="A42" t="s">
        <v>106</v>
      </c>
      <c r="B42" t="s">
        <v>62</v>
      </c>
      <c r="C42">
        <v>1.57201241844333E-2</v>
      </c>
      <c r="D42">
        <v>31</v>
      </c>
      <c r="E42">
        <f t="shared" si="1"/>
        <v>5.0710078014300968E-4</v>
      </c>
      <c r="F42">
        <f>SUM(E40:E43)</f>
        <v>0.15098305367198234</v>
      </c>
      <c r="G42" s="2">
        <f t="shared" si="9"/>
        <v>0.33586602457035314</v>
      </c>
    </row>
    <row r="43" spans="1:7" x14ac:dyDescent="0.35">
      <c r="A43" t="s">
        <v>106</v>
      </c>
      <c r="B43" t="s">
        <v>92</v>
      </c>
      <c r="C43">
        <v>4.0843215000000002E-2</v>
      </c>
      <c r="D43">
        <v>24</v>
      </c>
      <c r="E43">
        <f t="shared" si="1"/>
        <v>1.7018006250000002E-3</v>
      </c>
      <c r="F43">
        <f>SUM(E40:E43)</f>
        <v>0.15098305367198234</v>
      </c>
      <c r="G43" s="2">
        <f t="shared" si="9"/>
        <v>1.1271467781392477</v>
      </c>
    </row>
    <row r="44" spans="1:7" x14ac:dyDescent="0.35">
      <c r="A44" t="s">
        <v>106</v>
      </c>
      <c r="B44" t="s">
        <v>21</v>
      </c>
      <c r="C44">
        <v>4.8566663556633696</v>
      </c>
      <c r="D44">
        <v>12</v>
      </c>
      <c r="E44">
        <f t="shared" si="1"/>
        <v>0.40472219630528078</v>
      </c>
      <c r="F44">
        <f>SUM(E44:E47)</f>
        <v>0.44574172098612291</v>
      </c>
      <c r="G44" s="2">
        <f>E44/F44*100</f>
        <v>90.797467961918869</v>
      </c>
    </row>
    <row r="45" spans="1:7" x14ac:dyDescent="0.35">
      <c r="A45" t="s">
        <v>106</v>
      </c>
      <c r="B45" t="s">
        <v>0</v>
      </c>
      <c r="C45">
        <v>0.53940217391304301</v>
      </c>
      <c r="D45">
        <v>14</v>
      </c>
      <c r="E45">
        <f t="shared" si="1"/>
        <v>3.8528726708074501E-2</v>
      </c>
      <c r="F45">
        <f>SUM(E44:E47)</f>
        <v>0.44574172098612291</v>
      </c>
      <c r="G45" s="2">
        <f t="shared" ref="G45:G47" si="10">E45/F45*100</f>
        <v>8.6437335555748884</v>
      </c>
    </row>
    <row r="46" spans="1:7" x14ac:dyDescent="0.35">
      <c r="A46" t="s">
        <v>106</v>
      </c>
      <c r="B46" t="s">
        <v>62</v>
      </c>
      <c r="C46">
        <v>2.4456521739130401E-2</v>
      </c>
      <c r="D46">
        <v>31</v>
      </c>
      <c r="E46">
        <f t="shared" si="1"/>
        <v>7.8892005610098066E-4</v>
      </c>
      <c r="F46">
        <f>SUM(E44:E47)</f>
        <v>0.44574172098612291</v>
      </c>
      <c r="G46" s="2">
        <f t="shared" si="10"/>
        <v>0.17699040026041038</v>
      </c>
    </row>
    <row r="47" spans="1:7" x14ac:dyDescent="0.35">
      <c r="A47" t="s">
        <v>106</v>
      </c>
      <c r="B47" t="s">
        <v>92</v>
      </c>
      <c r="C47">
        <v>4.0845069999999997E-2</v>
      </c>
      <c r="D47">
        <v>24</v>
      </c>
      <c r="E47">
        <f t="shared" si="1"/>
        <v>1.7018779166666665E-3</v>
      </c>
      <c r="F47">
        <f>SUM(E44:E47)</f>
        <v>0.44574172098612291</v>
      </c>
      <c r="G47" s="2">
        <f t="shared" si="10"/>
        <v>0.38180808224582824</v>
      </c>
    </row>
    <row r="48" spans="1:7" x14ac:dyDescent="0.35">
      <c r="A48" t="s">
        <v>106</v>
      </c>
      <c r="B48" t="s">
        <v>21</v>
      </c>
      <c r="C48">
        <v>5.8858749656440903</v>
      </c>
      <c r="D48">
        <v>12</v>
      </c>
      <c r="E48">
        <f t="shared" si="1"/>
        <v>0.49048958047034086</v>
      </c>
      <c r="F48">
        <f>SUM(E48:E51)</f>
        <v>0.55437928361736177</v>
      </c>
      <c r="G48" s="2">
        <f>E48/F48*100</f>
        <v>88.475452630528267</v>
      </c>
    </row>
    <row r="49" spans="1:7" x14ac:dyDescent="0.35">
      <c r="A49" t="s">
        <v>106</v>
      </c>
      <c r="B49" t="s">
        <v>0</v>
      </c>
      <c r="C49">
        <v>0.84400656814449904</v>
      </c>
      <c r="D49">
        <v>14</v>
      </c>
      <c r="E49">
        <f t="shared" si="1"/>
        <v>6.028618343889279E-2</v>
      </c>
      <c r="F49">
        <f>SUM(E48:E51)</f>
        <v>0.55437928361736177</v>
      </c>
      <c r="G49" s="2">
        <f t="shared" ref="G49:G51" si="11">E49/F49*100</f>
        <v>10.874537563078011</v>
      </c>
    </row>
    <row r="50" spans="1:7" x14ac:dyDescent="0.35">
      <c r="A50" t="s">
        <v>106</v>
      </c>
      <c r="B50" t="s">
        <v>62</v>
      </c>
      <c r="C50">
        <v>5.0903119868637103E-2</v>
      </c>
      <c r="D50">
        <v>31</v>
      </c>
      <c r="E50">
        <f t="shared" si="1"/>
        <v>1.6420361247947452E-3</v>
      </c>
      <c r="F50">
        <f>SUM(E48:E51)</f>
        <v>0.55437928361736177</v>
      </c>
      <c r="G50" s="2">
        <f t="shared" si="11"/>
        <v>0.29619363012274741</v>
      </c>
    </row>
    <row r="51" spans="1:7" x14ac:dyDescent="0.35">
      <c r="A51" t="s">
        <v>106</v>
      </c>
      <c r="B51" t="s">
        <v>92</v>
      </c>
      <c r="C51">
        <v>4.7075605999999999E-2</v>
      </c>
      <c r="D51">
        <v>24</v>
      </c>
      <c r="E51">
        <f t="shared" si="1"/>
        <v>1.9614835833333334E-3</v>
      </c>
      <c r="F51">
        <f>SUM(E48:E51)</f>
        <v>0.55437928361736177</v>
      </c>
      <c r="G51" s="2">
        <f t="shared" si="11"/>
        <v>0.35381617627096784</v>
      </c>
    </row>
    <row r="52" spans="1:7" x14ac:dyDescent="0.35">
      <c r="A52" t="s">
        <v>106</v>
      </c>
      <c r="B52" t="s">
        <v>21</v>
      </c>
      <c r="C52">
        <v>7.7735721658685701</v>
      </c>
      <c r="D52">
        <v>12</v>
      </c>
      <c r="E52">
        <v>0.64779768048904751</v>
      </c>
      <c r="F52">
        <f>SUM(E52:E55)</f>
        <v>0.74073507209251532</v>
      </c>
      <c r="G52" s="2">
        <f>E52/F52*100</f>
        <v>87.453356118142565</v>
      </c>
    </row>
    <row r="53" spans="1:7" x14ac:dyDescent="0.35">
      <c r="A53" t="s">
        <v>106</v>
      </c>
      <c r="B53" t="s">
        <v>0</v>
      </c>
      <c r="C53">
        <v>1.2296564195298401</v>
      </c>
      <c r="D53">
        <v>14</v>
      </c>
      <c r="E53">
        <v>8.783260139498858E-2</v>
      </c>
      <c r="F53">
        <f>SUM(E52:E55)</f>
        <v>0.74073507209251532</v>
      </c>
      <c r="G53" s="2">
        <f t="shared" ref="G53:G54" si="12">E53/F53*100</f>
        <v>11.857491929856749</v>
      </c>
    </row>
    <row r="54" spans="1:7" x14ac:dyDescent="0.35">
      <c r="A54" t="s">
        <v>106</v>
      </c>
      <c r="B54" t="s">
        <v>62</v>
      </c>
      <c r="C54">
        <v>6.50994575045208E-2</v>
      </c>
      <c r="D54">
        <v>31</v>
      </c>
      <c r="E54">
        <v>2.0999825001458321E-3</v>
      </c>
      <c r="F54">
        <f>SUM(E52:E55)</f>
        <v>0.74073507209251532</v>
      </c>
      <c r="G54" s="2">
        <f t="shared" si="12"/>
        <v>0.28349980705160283</v>
      </c>
    </row>
    <row r="55" spans="1:7" x14ac:dyDescent="0.35">
      <c r="A55" t="s">
        <v>106</v>
      </c>
      <c r="B55" t="s">
        <v>92</v>
      </c>
      <c r="C55">
        <v>7.2115385000000004E-2</v>
      </c>
      <c r="D55">
        <v>24</v>
      </c>
      <c r="E55">
        <f>C55/D55</f>
        <v>3.0048077083333334E-3</v>
      </c>
      <c r="F55">
        <f>SUM(E52:E55)</f>
        <v>0.74073507209251532</v>
      </c>
      <c r="G55" s="2">
        <f>E55/F55*100</f>
        <v>0.40565214494907065</v>
      </c>
    </row>
    <row r="56" spans="1:7" x14ac:dyDescent="0.35">
      <c r="A56" t="s">
        <v>106</v>
      </c>
      <c r="B56" t="s">
        <v>21</v>
      </c>
      <c r="C56">
        <v>2.6117371254862598</v>
      </c>
      <c r="D56">
        <v>12</v>
      </c>
      <c r="E56">
        <v>0.21764476045718831</v>
      </c>
      <c r="F56">
        <v>0.24007054924349261</v>
      </c>
      <c r="G56" s="2">
        <v>90.658667272194833</v>
      </c>
    </row>
    <row r="57" spans="1:7" x14ac:dyDescent="0.35">
      <c r="A57" t="s">
        <v>106</v>
      </c>
      <c r="B57" t="s">
        <v>0</v>
      </c>
      <c r="C57">
        <v>0.321637426900585</v>
      </c>
      <c r="D57">
        <v>14</v>
      </c>
      <c r="E57">
        <v>2.2974101921470359E-2</v>
      </c>
      <c r="F57">
        <v>0.24007054924349261</v>
      </c>
      <c r="G57" s="2">
        <v>9.5697293957405858</v>
      </c>
    </row>
    <row r="58" spans="1:7" x14ac:dyDescent="0.35">
      <c r="A58" t="s">
        <v>106</v>
      </c>
      <c r="B58" t="s">
        <v>21</v>
      </c>
      <c r="C58">
        <v>5.4439513849024896</v>
      </c>
      <c r="D58">
        <v>12</v>
      </c>
      <c r="E58">
        <v>0.4536626154085408</v>
      </c>
      <c r="F58">
        <v>0.48445571883529309</v>
      </c>
      <c r="G58" s="2">
        <v>93.643773366782909</v>
      </c>
    </row>
    <row r="59" spans="1:7" x14ac:dyDescent="0.35">
      <c r="A59" t="s">
        <v>106</v>
      </c>
      <c r="B59" t="s">
        <v>0</v>
      </c>
      <c r="C59">
        <v>0.43045387994143502</v>
      </c>
      <c r="D59">
        <v>14</v>
      </c>
      <c r="E59">
        <v>3.07467057101025E-2</v>
      </c>
      <c r="F59">
        <v>0.48445571883529309</v>
      </c>
      <c r="G59" s="2">
        <v>6.3466493457900288</v>
      </c>
    </row>
    <row r="60" spans="1:7" x14ac:dyDescent="0.35">
      <c r="A60" t="s">
        <v>106</v>
      </c>
      <c r="B60" t="s">
        <v>62</v>
      </c>
      <c r="C60">
        <v>1.4383292161428301E-3</v>
      </c>
      <c r="D60">
        <v>31</v>
      </c>
      <c r="E60">
        <v>4.6397716649768713E-5</v>
      </c>
      <c r="F60">
        <v>0.48445571883529309</v>
      </c>
      <c r="G60" s="2">
        <v>9.577287427077143E-3</v>
      </c>
    </row>
    <row r="61" spans="1:7" x14ac:dyDescent="0.35">
      <c r="A61" t="s">
        <v>106</v>
      </c>
      <c r="B61" t="s">
        <v>21</v>
      </c>
      <c r="C61">
        <v>3.7023146656849701</v>
      </c>
      <c r="D61">
        <v>12</v>
      </c>
      <c r="E61">
        <v>0.3085262221404142</v>
      </c>
      <c r="F61">
        <v>0.33547459073391289</v>
      </c>
      <c r="G61" s="2">
        <v>91.967090999487084</v>
      </c>
    </row>
    <row r="62" spans="1:7" x14ac:dyDescent="0.35">
      <c r="A62" t="s">
        <v>106</v>
      </c>
      <c r="B62" t="s">
        <v>0</v>
      </c>
      <c r="C62">
        <v>0.32382310984308099</v>
      </c>
      <c r="D62">
        <v>14</v>
      </c>
      <c r="E62">
        <v>2.3130222131648639E-2</v>
      </c>
      <c r="F62">
        <v>0.33547459073391289</v>
      </c>
      <c r="G62" s="2">
        <v>6.8947761680093311</v>
      </c>
    </row>
    <row r="63" spans="1:7" x14ac:dyDescent="0.35">
      <c r="A63" t="s">
        <v>106</v>
      </c>
      <c r="B63" t="s">
        <v>62</v>
      </c>
      <c r="C63">
        <v>0.11836254031735099</v>
      </c>
      <c r="D63">
        <v>31</v>
      </c>
      <c r="E63">
        <v>3.8181464618500319E-3</v>
      </c>
      <c r="F63">
        <v>0.33547459073391289</v>
      </c>
      <c r="G63" s="2">
        <v>1.138132832503687</v>
      </c>
    </row>
    <row r="64" spans="1:7" x14ac:dyDescent="0.35">
      <c r="A64" t="s">
        <v>106</v>
      </c>
      <c r="B64" t="s">
        <v>21</v>
      </c>
      <c r="C64">
        <v>4.2965924579736496</v>
      </c>
      <c r="D64">
        <v>12</v>
      </c>
      <c r="E64">
        <v>0.35804937149780408</v>
      </c>
      <c r="F64">
        <v>0.38640474639214217</v>
      </c>
      <c r="G64" s="2">
        <v>92.661742600448889</v>
      </c>
    </row>
    <row r="65" spans="1:7" x14ac:dyDescent="0.35">
      <c r="A65" t="s">
        <v>106</v>
      </c>
      <c r="B65" t="s">
        <v>0</v>
      </c>
      <c r="C65">
        <v>0.34929577464788703</v>
      </c>
      <c r="D65">
        <v>14</v>
      </c>
      <c r="E65">
        <v>2.494969818913479E-2</v>
      </c>
      <c r="F65">
        <v>0.38640474639214217</v>
      </c>
      <c r="G65" s="2">
        <v>6.4568819151653551</v>
      </c>
    </row>
    <row r="66" spans="1:7" x14ac:dyDescent="0.35">
      <c r="A66" t="s">
        <v>106</v>
      </c>
      <c r="B66" t="s">
        <v>62</v>
      </c>
      <c r="C66">
        <v>0.105575977861303</v>
      </c>
      <c r="D66">
        <v>31</v>
      </c>
      <c r="E66">
        <v>3.4056767052033231E-3</v>
      </c>
      <c r="F66">
        <v>0.38640474639214217</v>
      </c>
      <c r="G66" s="2">
        <v>0.88137548438576296</v>
      </c>
    </row>
    <row r="67" spans="1:7" x14ac:dyDescent="0.35">
      <c r="A67" t="s">
        <v>106</v>
      </c>
      <c r="B67" t="s">
        <v>21</v>
      </c>
      <c r="C67">
        <v>2.46840958605664</v>
      </c>
      <c r="D67">
        <v>12</v>
      </c>
      <c r="E67">
        <v>0.20570079883805331</v>
      </c>
      <c r="F67">
        <v>0.21809312135845929</v>
      </c>
      <c r="G67" s="2">
        <v>94.317875573875497</v>
      </c>
    </row>
    <row r="68" spans="1:7" x14ac:dyDescent="0.35">
      <c r="A68" t="s">
        <v>106</v>
      </c>
      <c r="B68" t="s">
        <v>0</v>
      </c>
      <c r="C68">
        <v>0.15332244008714599</v>
      </c>
      <c r="D68">
        <v>14</v>
      </c>
      <c r="E68">
        <v>1.095160286336757E-2</v>
      </c>
      <c r="F68">
        <v>0.21809312135845929</v>
      </c>
      <c r="G68" s="2">
        <v>5.0215260321610149</v>
      </c>
    </row>
    <row r="69" spans="1:7" x14ac:dyDescent="0.35">
      <c r="A69" t="s">
        <v>106</v>
      </c>
      <c r="B69" t="s">
        <v>62</v>
      </c>
      <c r="C69">
        <v>4.4662309368191697E-2</v>
      </c>
      <c r="D69">
        <v>31</v>
      </c>
      <c r="E69">
        <v>1.4407196570384419E-3</v>
      </c>
      <c r="F69">
        <v>0.21809312135845929</v>
      </c>
      <c r="G69" s="2">
        <v>0.66059839396331199</v>
      </c>
    </row>
    <row r="70" spans="1:7" x14ac:dyDescent="0.35">
      <c r="A70" t="s">
        <v>106</v>
      </c>
      <c r="B70" t="s">
        <v>21</v>
      </c>
      <c r="C70">
        <v>2.9626605441237399</v>
      </c>
      <c r="D70">
        <v>12</v>
      </c>
      <c r="E70">
        <v>0.2468883786769783</v>
      </c>
      <c r="F70">
        <v>0.25191485421756682</v>
      </c>
      <c r="G70" s="2">
        <v>98.004692674356036</v>
      </c>
    </row>
    <row r="71" spans="1:7" x14ac:dyDescent="0.35">
      <c r="A71" t="s">
        <v>106</v>
      </c>
      <c r="B71" t="s">
        <v>0</v>
      </c>
      <c r="C71">
        <v>5.4086538461538498E-2</v>
      </c>
      <c r="D71">
        <v>14</v>
      </c>
      <c r="E71">
        <v>3.863324175824179E-3</v>
      </c>
      <c r="F71">
        <v>0.25191485421756682</v>
      </c>
      <c r="G71" s="2">
        <v>1.533583316404046</v>
      </c>
    </row>
    <row r="72" spans="1:7" x14ac:dyDescent="0.35">
      <c r="A72" t="s">
        <v>106</v>
      </c>
      <c r="B72" t="s">
        <v>62</v>
      </c>
      <c r="C72">
        <v>3.6057692307692298E-2</v>
      </c>
      <c r="D72">
        <v>31</v>
      </c>
      <c r="E72">
        <v>1.1631513647642679E-3</v>
      </c>
      <c r="F72">
        <v>0.25191485421756682</v>
      </c>
      <c r="G72" s="2">
        <v>0.46172400923992751</v>
      </c>
    </row>
    <row r="73" spans="1:7" x14ac:dyDescent="0.35">
      <c r="A73" t="s">
        <v>106</v>
      </c>
      <c r="B73" t="s">
        <v>21</v>
      </c>
      <c r="C73">
        <v>1.9771895601657401</v>
      </c>
      <c r="D73">
        <v>12</v>
      </c>
      <c r="E73">
        <v>0.1647657966804783</v>
      </c>
      <c r="F73">
        <v>0.1772571660473842</v>
      </c>
      <c r="G73" s="2">
        <v>92.952967913541713</v>
      </c>
    </row>
    <row r="74" spans="1:7" x14ac:dyDescent="0.35">
      <c r="A74" t="s">
        <v>106</v>
      </c>
      <c r="B74" t="s">
        <v>0</v>
      </c>
      <c r="C74">
        <v>0.16535433070866101</v>
      </c>
      <c r="D74">
        <v>14</v>
      </c>
      <c r="E74">
        <v>1.1811023622047209E-2</v>
      </c>
      <c r="F74">
        <v>0.1772571660473842</v>
      </c>
      <c r="G74" s="2">
        <v>6.6632136152339871</v>
      </c>
    </row>
    <row r="75" spans="1:7" x14ac:dyDescent="0.35">
      <c r="A75" t="s">
        <v>106</v>
      </c>
      <c r="B75" t="s">
        <v>62</v>
      </c>
      <c r="C75">
        <v>2.10907180906184E-2</v>
      </c>
      <c r="D75">
        <v>31</v>
      </c>
      <c r="E75">
        <v>6.803457448586581E-4</v>
      </c>
      <c r="F75">
        <v>0.1772571660473842</v>
      </c>
      <c r="G75" s="2">
        <v>0.38381847122433921</v>
      </c>
    </row>
    <row r="76" spans="1:7" x14ac:dyDescent="0.35">
      <c r="A76" t="s">
        <v>106</v>
      </c>
      <c r="B76" t="s">
        <v>21</v>
      </c>
      <c r="C76">
        <v>0.85343104596935404</v>
      </c>
      <c r="D76">
        <v>12</v>
      </c>
      <c r="E76">
        <v>7.1119253830779508E-2</v>
      </c>
      <c r="F76">
        <v>7.525082271487897E-2</v>
      </c>
      <c r="G76" s="2">
        <v>94.509603038157209</v>
      </c>
    </row>
    <row r="77" spans="1:7" x14ac:dyDescent="0.35">
      <c r="A77" t="s">
        <v>106</v>
      </c>
      <c r="B77" t="s">
        <v>0</v>
      </c>
      <c r="C77">
        <v>5.3964023984010699E-2</v>
      </c>
      <c r="D77">
        <v>14</v>
      </c>
      <c r="E77">
        <v>3.8545731417150499E-3</v>
      </c>
      <c r="F77">
        <v>7.525082271487897E-2</v>
      </c>
      <c r="G77" s="2">
        <v>5.1223003319442864</v>
      </c>
    </row>
    <row r="78" spans="1:7" x14ac:dyDescent="0.35">
      <c r="A78" t="s">
        <v>106</v>
      </c>
      <c r="B78" t="s">
        <v>62</v>
      </c>
      <c r="C78">
        <v>8.5868680139166501E-3</v>
      </c>
      <c r="D78">
        <v>31</v>
      </c>
      <c r="E78">
        <v>2.7699574238440811E-4</v>
      </c>
      <c r="F78">
        <v>7.525082271487897E-2</v>
      </c>
      <c r="G78" s="2">
        <v>0.36809662989855818</v>
      </c>
    </row>
    <row r="79" spans="1:7" x14ac:dyDescent="0.35">
      <c r="A79" t="s">
        <v>106</v>
      </c>
      <c r="B79" t="s">
        <v>21</v>
      </c>
      <c r="C79">
        <v>2.3639481337658301</v>
      </c>
      <c r="D79">
        <v>12</v>
      </c>
      <c r="E79">
        <v>0.19699567781381919</v>
      </c>
      <c r="F79">
        <v>0.21190648259286571</v>
      </c>
      <c r="G79" s="2">
        <v>92.963497578460519</v>
      </c>
    </row>
    <row r="80" spans="1:7" x14ac:dyDescent="0.35">
      <c r="A80" t="s">
        <v>106</v>
      </c>
      <c r="B80" t="s">
        <v>0</v>
      </c>
      <c r="C80">
        <v>0.20043336944745399</v>
      </c>
      <c r="D80">
        <v>14</v>
      </c>
      <c r="E80">
        <v>1.4316669246246709E-2</v>
      </c>
      <c r="F80">
        <v>0.21190648259286571</v>
      </c>
      <c r="G80" s="2">
        <v>6.7561261321831516</v>
      </c>
    </row>
    <row r="81" spans="1:7" x14ac:dyDescent="0.35">
      <c r="A81" t="s">
        <v>106</v>
      </c>
      <c r="B81" t="s">
        <v>62</v>
      </c>
      <c r="C81">
        <v>1.84182015167931E-2</v>
      </c>
      <c r="D81">
        <v>31</v>
      </c>
      <c r="E81">
        <v>5.9413553279977747E-4</v>
      </c>
      <c r="F81">
        <v>0.21190648259286571</v>
      </c>
      <c r="G81" s="2">
        <v>0.28037628935651138</v>
      </c>
    </row>
    <row r="82" spans="1:7" x14ac:dyDescent="0.35">
      <c r="A82" t="s">
        <v>106</v>
      </c>
      <c r="B82" t="s">
        <v>21</v>
      </c>
      <c r="C82">
        <v>0.498417159855437</v>
      </c>
      <c r="D82">
        <v>12</v>
      </c>
      <c r="E82">
        <v>4.1534763321286423E-2</v>
      </c>
      <c r="F82">
        <v>4.2253430383009827E-2</v>
      </c>
      <c r="G82" s="2">
        <v>98.299150967840873</v>
      </c>
    </row>
    <row r="83" spans="1:7" x14ac:dyDescent="0.35">
      <c r="A83" t="s">
        <v>106</v>
      </c>
      <c r="B83" t="s">
        <v>0</v>
      </c>
      <c r="C83">
        <v>8.2079343365253094E-3</v>
      </c>
      <c r="D83">
        <v>14</v>
      </c>
      <c r="E83">
        <v>5.862810240375221E-4</v>
      </c>
      <c r="F83">
        <v>4.2253430383009827E-2</v>
      </c>
      <c r="G83" s="2">
        <v>1.387534736761316</v>
      </c>
    </row>
    <row r="84" spans="1:7" x14ac:dyDescent="0.35">
      <c r="A84" t="s">
        <v>106</v>
      </c>
      <c r="B84" t="s">
        <v>62</v>
      </c>
      <c r="C84">
        <v>4.1039671682626504E-3</v>
      </c>
      <c r="D84">
        <v>31</v>
      </c>
      <c r="E84">
        <v>1.3238603768589191E-4</v>
      </c>
      <c r="F84">
        <v>4.2253430383009827E-2</v>
      </c>
      <c r="G84" s="2">
        <v>0.31331429539771632</v>
      </c>
    </row>
    <row r="85" spans="1:7" x14ac:dyDescent="0.35">
      <c r="A85" t="s">
        <v>106</v>
      </c>
      <c r="B85" t="s">
        <v>21</v>
      </c>
      <c r="C85">
        <v>1.18211206896552</v>
      </c>
      <c r="D85">
        <v>12</v>
      </c>
      <c r="E85">
        <v>9.8509339080460001E-2</v>
      </c>
      <c r="F85">
        <v>9.966886156576113E-2</v>
      </c>
      <c r="G85" s="2">
        <v>98.836625133381446</v>
      </c>
    </row>
    <row r="86" spans="1:7" x14ac:dyDescent="0.35">
      <c r="A86" t="s">
        <v>106</v>
      </c>
      <c r="B86" t="s">
        <v>0</v>
      </c>
      <c r="C86">
        <v>1.18534482758621E-2</v>
      </c>
      <c r="D86">
        <v>14</v>
      </c>
      <c r="E86">
        <v>8.4667487684729286E-4</v>
      </c>
      <c r="F86">
        <v>9.966886156576113E-2</v>
      </c>
      <c r="G86" s="2">
        <v>0.84948785763812695</v>
      </c>
    </row>
    <row r="87" spans="1:7" x14ac:dyDescent="0.35">
      <c r="A87" t="s">
        <v>106</v>
      </c>
      <c r="B87" t="s">
        <v>62</v>
      </c>
      <c r="C87">
        <v>9.6982758620689693E-3</v>
      </c>
      <c r="D87">
        <v>31</v>
      </c>
      <c r="E87">
        <v>3.1284760845383771E-4</v>
      </c>
      <c r="F87">
        <v>9.966886156576113E-2</v>
      </c>
      <c r="G87" s="2">
        <v>0.31388700898065619</v>
      </c>
    </row>
    <row r="88" spans="1:7" x14ac:dyDescent="0.35">
      <c r="A88" t="s">
        <v>106</v>
      </c>
      <c r="B88" t="s">
        <v>21</v>
      </c>
      <c r="C88">
        <v>0.88632986627043098</v>
      </c>
      <c r="D88">
        <v>12</v>
      </c>
      <c r="E88">
        <v>7.3860822189202577E-2</v>
      </c>
      <c r="F88">
        <v>7.6185511831152436E-2</v>
      </c>
      <c r="G88" s="2">
        <v>96.948646027210529</v>
      </c>
    </row>
    <row r="89" spans="1:7" x14ac:dyDescent="0.35">
      <c r="A89" t="s">
        <v>106</v>
      </c>
      <c r="B89" t="s">
        <v>0</v>
      </c>
      <c r="C89">
        <v>3.12035661218425E-2</v>
      </c>
      <c r="D89">
        <v>14</v>
      </c>
      <c r="E89">
        <v>2.2288261515601791E-3</v>
      </c>
      <c r="F89">
        <v>7.6185511831152436E-2</v>
      </c>
      <c r="G89" s="2">
        <v>2.925524942983722</v>
      </c>
    </row>
    <row r="90" spans="1:7" x14ac:dyDescent="0.35">
      <c r="A90" t="s">
        <v>106</v>
      </c>
      <c r="B90" t="s">
        <v>62</v>
      </c>
      <c r="C90">
        <v>2.9717682020802402E-3</v>
      </c>
      <c r="D90">
        <v>31</v>
      </c>
      <c r="E90">
        <v>9.5863490389685172E-5</v>
      </c>
      <c r="F90">
        <v>7.6185511831152436E-2</v>
      </c>
      <c r="G90" s="2">
        <v>0.12582902980575161</v>
      </c>
    </row>
    <row r="91" spans="1:7" x14ac:dyDescent="0.35">
      <c r="A91" t="s">
        <v>106</v>
      </c>
      <c r="B91" t="s">
        <v>21</v>
      </c>
      <c r="C91">
        <v>2.2600522735838799</v>
      </c>
      <c r="D91">
        <v>12</v>
      </c>
      <c r="E91">
        <v>0.18833768946532331</v>
      </c>
      <c r="F91">
        <v>0.2035877415436288</v>
      </c>
      <c r="G91" s="2">
        <v>92.509346602758498</v>
      </c>
    </row>
    <row r="92" spans="1:7" x14ac:dyDescent="0.35">
      <c r="A92" t="s">
        <v>106</v>
      </c>
      <c r="B92" t="s">
        <v>0</v>
      </c>
      <c r="C92">
        <v>0.19955898566703401</v>
      </c>
      <c r="D92">
        <v>14</v>
      </c>
      <c r="E92">
        <v>1.4254213261930999E-2</v>
      </c>
      <c r="F92">
        <v>0.2035877415436288</v>
      </c>
      <c r="G92" s="2">
        <v>7.0015086143466823</v>
      </c>
    </row>
    <row r="93" spans="1:7" x14ac:dyDescent="0.35">
      <c r="A93" t="s">
        <v>106</v>
      </c>
      <c r="B93" t="s">
        <v>62</v>
      </c>
      <c r="C93">
        <v>3.08710033076075E-2</v>
      </c>
      <c r="D93">
        <v>31</v>
      </c>
      <c r="E93">
        <v>9.9583881637443548E-4</v>
      </c>
      <c r="F93">
        <v>0.2035877415436288</v>
      </c>
      <c r="G93" s="2">
        <v>0.48914478289501012</v>
      </c>
    </row>
    <row r="94" spans="1:7" x14ac:dyDescent="0.35">
      <c r="A94" t="s">
        <v>106</v>
      </c>
      <c r="B94" t="s">
        <v>21</v>
      </c>
      <c r="C94">
        <v>0.653920001418965</v>
      </c>
      <c r="D94">
        <v>12</v>
      </c>
      <c r="E94">
        <v>5.4493333451580417E-2</v>
      </c>
      <c r="F94">
        <v>5.8940130190915943E-2</v>
      </c>
      <c r="G94" s="2">
        <v>92.45540054809571</v>
      </c>
    </row>
    <row r="95" spans="1:7" x14ac:dyDescent="0.35">
      <c r="A95" t="s">
        <v>106</v>
      </c>
      <c r="B95" t="s">
        <v>0</v>
      </c>
      <c r="C95">
        <v>6.03747397640527E-2</v>
      </c>
      <c r="D95">
        <v>14</v>
      </c>
      <c r="E95">
        <v>4.3124814117180502E-3</v>
      </c>
      <c r="F95">
        <v>5.8940130190915943E-2</v>
      </c>
      <c r="G95" s="2">
        <v>7.3167151103149504</v>
      </c>
    </row>
    <row r="96" spans="1:7" x14ac:dyDescent="0.35">
      <c r="A96" t="s">
        <v>106</v>
      </c>
      <c r="B96" t="s">
        <v>62</v>
      </c>
      <c r="C96">
        <v>4.1637751561415699E-3</v>
      </c>
      <c r="D96">
        <v>31</v>
      </c>
      <c r="E96">
        <v>1.3431532761747E-4</v>
      </c>
      <c r="F96">
        <v>5.8940130190915943E-2</v>
      </c>
      <c r="G96" s="2">
        <v>0.2278843415893424</v>
      </c>
    </row>
    <row r="97" spans="1:7" x14ac:dyDescent="0.35">
      <c r="A97" t="s">
        <v>106</v>
      </c>
      <c r="B97" t="s">
        <v>21</v>
      </c>
      <c r="C97">
        <v>1.1675779885253399</v>
      </c>
      <c r="D97">
        <v>12</v>
      </c>
      <c r="E97">
        <v>9.7298165710444987E-2</v>
      </c>
      <c r="F97">
        <v>0.1083438054377116</v>
      </c>
      <c r="G97" s="2">
        <v>89.80501037171237</v>
      </c>
    </row>
    <row r="98" spans="1:7" x14ac:dyDescent="0.35">
      <c r="A98" t="s">
        <v>106</v>
      </c>
      <c r="B98" t="s">
        <v>0</v>
      </c>
      <c r="C98">
        <v>0.13768115942028999</v>
      </c>
      <c r="D98">
        <v>14</v>
      </c>
      <c r="E98">
        <v>9.8343685300207144E-3</v>
      </c>
      <c r="F98">
        <v>0.1083438054377116</v>
      </c>
      <c r="G98" s="2">
        <v>9.0770012095196453</v>
      </c>
    </row>
    <row r="99" spans="1:7" x14ac:dyDescent="0.35">
      <c r="A99" t="s">
        <v>106</v>
      </c>
      <c r="B99" t="s">
        <v>62</v>
      </c>
      <c r="C99">
        <v>3.7549407114624497E-2</v>
      </c>
      <c r="D99">
        <v>31</v>
      </c>
      <c r="E99">
        <v>1.211271197245951E-3</v>
      </c>
      <c r="F99">
        <v>0.1083438054377116</v>
      </c>
      <c r="G99" s="2">
        <v>1.117988418767814</v>
      </c>
    </row>
    <row r="100" spans="1:7" x14ac:dyDescent="0.35">
      <c r="A100" t="s">
        <v>106</v>
      </c>
      <c r="B100" t="s">
        <v>21</v>
      </c>
      <c r="C100">
        <v>1.8937414091753899</v>
      </c>
      <c r="D100">
        <v>12</v>
      </c>
      <c r="E100">
        <v>0.15781178409794919</v>
      </c>
      <c r="F100">
        <v>0.17051583102408421</v>
      </c>
      <c r="G100" s="2">
        <v>92.549637854833264</v>
      </c>
    </row>
    <row r="101" spans="1:7" x14ac:dyDescent="0.35">
      <c r="A101" t="s">
        <v>106</v>
      </c>
      <c r="B101" t="s">
        <v>0</v>
      </c>
      <c r="C101">
        <v>0.16683217477656401</v>
      </c>
      <c r="D101">
        <v>14</v>
      </c>
      <c r="E101">
        <v>1.191658391261172E-2</v>
      </c>
      <c r="F101">
        <v>0.17051583102408421</v>
      </c>
      <c r="G101" s="2">
        <v>6.9885498848072309</v>
      </c>
    </row>
    <row r="102" spans="1:7" x14ac:dyDescent="0.35">
      <c r="A102" t="s">
        <v>106</v>
      </c>
      <c r="B102" t="s">
        <v>62</v>
      </c>
      <c r="C102">
        <v>2.4411353419222698E-2</v>
      </c>
      <c r="D102">
        <v>31</v>
      </c>
      <c r="E102">
        <v>7.8746301352331286E-4</v>
      </c>
      <c r="F102">
        <v>0.17051583102408421</v>
      </c>
      <c r="G102" s="2">
        <v>0.4618122603596202</v>
      </c>
    </row>
    <row r="103" spans="1:7" x14ac:dyDescent="0.35">
      <c r="A103" t="s">
        <v>106</v>
      </c>
      <c r="B103" t="s">
        <v>21</v>
      </c>
      <c r="C103">
        <v>1.4373095664031501</v>
      </c>
      <c r="D103">
        <v>12</v>
      </c>
      <c r="E103">
        <v>0.1197757972002625</v>
      </c>
      <c r="F103">
        <v>0.13014031601541601</v>
      </c>
      <c r="G103" s="2">
        <v>92.035889313557661</v>
      </c>
    </row>
    <row r="104" spans="1:7" x14ac:dyDescent="0.35">
      <c r="A104" t="s">
        <v>106</v>
      </c>
      <c r="B104" t="s">
        <v>0</v>
      </c>
      <c r="C104">
        <v>0.135899450117832</v>
      </c>
      <c r="D104">
        <v>14</v>
      </c>
      <c r="E104">
        <v>9.7071035798451423E-3</v>
      </c>
      <c r="F104">
        <v>0.13014031601541601</v>
      </c>
      <c r="G104" s="2">
        <v>7.4589519044162031</v>
      </c>
    </row>
    <row r="105" spans="1:7" x14ac:dyDescent="0.35">
      <c r="A105" t="s">
        <v>106</v>
      </c>
      <c r="B105" t="s">
        <v>62</v>
      </c>
      <c r="C105">
        <v>2.0379872294558E-2</v>
      </c>
      <c r="D105">
        <v>31</v>
      </c>
      <c r="E105">
        <v>6.5741523530832258E-4</v>
      </c>
      <c r="F105">
        <v>0.13014031601541601</v>
      </c>
      <c r="G105" s="2">
        <v>0.50515878202604558</v>
      </c>
    </row>
    <row r="106" spans="1:7" x14ac:dyDescent="0.35">
      <c r="A106" t="s">
        <v>106</v>
      </c>
      <c r="B106" t="s">
        <v>21</v>
      </c>
      <c r="C106">
        <v>1.5359707029543299</v>
      </c>
      <c r="D106">
        <v>12</v>
      </c>
      <c r="E106">
        <v>0.12799755857952749</v>
      </c>
      <c r="F106">
        <v>0.13755529983813389</v>
      </c>
      <c r="G106" s="2">
        <v>93.051709916045894</v>
      </c>
    </row>
    <row r="107" spans="1:7" x14ac:dyDescent="0.35">
      <c r="A107" t="s">
        <v>106</v>
      </c>
      <c r="B107" t="s">
        <v>0</v>
      </c>
      <c r="C107">
        <v>0.12284263959390899</v>
      </c>
      <c r="D107">
        <v>14</v>
      </c>
      <c r="E107">
        <v>8.7744742567077861E-3</v>
      </c>
      <c r="F107">
        <v>0.13755529983813389</v>
      </c>
      <c r="G107" s="2">
        <v>6.3788703648881686</v>
      </c>
    </row>
    <row r="108" spans="1:7" x14ac:dyDescent="0.35">
      <c r="A108" t="s">
        <v>106</v>
      </c>
      <c r="B108" t="s">
        <v>62</v>
      </c>
      <c r="C108">
        <v>2.4281277058856202E-2</v>
      </c>
      <c r="D108">
        <v>31</v>
      </c>
      <c r="E108">
        <v>7.8326700189858712E-4</v>
      </c>
      <c r="F108">
        <v>0.13755529983813389</v>
      </c>
      <c r="G108" s="2">
        <v>0.56941971906592093</v>
      </c>
    </row>
    <row r="109" spans="1:7" x14ac:dyDescent="0.35">
      <c r="A109" t="s">
        <v>106</v>
      </c>
      <c r="B109" t="s">
        <v>21</v>
      </c>
      <c r="C109">
        <v>0.94701442841287498</v>
      </c>
      <c r="D109">
        <v>12</v>
      </c>
      <c r="E109">
        <v>7.8917869034406243E-2</v>
      </c>
      <c r="F109">
        <v>8.1178644312259324E-2</v>
      </c>
      <c r="G109" s="2">
        <v>97.215061550970447</v>
      </c>
    </row>
    <row r="110" spans="1:7" x14ac:dyDescent="0.35">
      <c r="A110" t="s">
        <v>106</v>
      </c>
      <c r="B110" t="s">
        <v>0</v>
      </c>
      <c r="C110">
        <v>2.23529411764706E-2</v>
      </c>
      <c r="D110">
        <v>14</v>
      </c>
      <c r="E110">
        <v>1.5966386554621861E-3</v>
      </c>
      <c r="F110">
        <v>8.1178644312259324E-2</v>
      </c>
      <c r="G110" s="2">
        <v>1.966821038942957</v>
      </c>
    </row>
    <row r="111" spans="1:7" x14ac:dyDescent="0.35">
      <c r="A111" t="s">
        <v>106</v>
      </c>
      <c r="B111" t="s">
        <v>62</v>
      </c>
      <c r="C111">
        <v>2.0588235294117602E-2</v>
      </c>
      <c r="D111">
        <v>31</v>
      </c>
      <c r="E111">
        <v>6.6413662239089041E-4</v>
      </c>
      <c r="F111">
        <v>8.1178644312259324E-2</v>
      </c>
      <c r="G111" s="2">
        <v>0.81811741008662664</v>
      </c>
    </row>
    <row r="112" spans="1:7" x14ac:dyDescent="0.35">
      <c r="A112" t="s">
        <v>106</v>
      </c>
      <c r="B112" t="s">
        <v>21</v>
      </c>
      <c r="C112">
        <v>1.4207034083585</v>
      </c>
      <c r="D112">
        <v>12</v>
      </c>
      <c r="E112">
        <v>0.1183919506965417</v>
      </c>
      <c r="F112">
        <v>0.12874286633665641</v>
      </c>
      <c r="G112" s="2">
        <v>91.960008399185554</v>
      </c>
    </row>
    <row r="113" spans="1:7" x14ac:dyDescent="0.35">
      <c r="A113" t="s">
        <v>106</v>
      </c>
      <c r="B113" t="s">
        <v>0</v>
      </c>
      <c r="C113">
        <v>0.13462826523777599</v>
      </c>
      <c r="D113">
        <v>14</v>
      </c>
      <c r="E113">
        <v>9.6163046598411427E-3</v>
      </c>
      <c r="F113">
        <v>0.12874286633665641</v>
      </c>
      <c r="G113" s="2">
        <v>7.4693883501824097</v>
      </c>
    </row>
    <row r="114" spans="1:7" x14ac:dyDescent="0.35">
      <c r="A114" t="s">
        <v>106</v>
      </c>
      <c r="B114" t="s">
        <v>62</v>
      </c>
      <c r="C114">
        <v>2.2772940388479601E-2</v>
      </c>
      <c r="D114">
        <v>31</v>
      </c>
      <c r="E114">
        <v>7.3461098027353554E-4</v>
      </c>
      <c r="F114">
        <v>0.12874286633665641</v>
      </c>
      <c r="G114" s="2">
        <v>0.57060325063181516</v>
      </c>
    </row>
    <row r="115" spans="1:7" x14ac:dyDescent="0.35">
      <c r="A115" t="s">
        <v>106</v>
      </c>
      <c r="B115" t="s">
        <v>21</v>
      </c>
      <c r="C115">
        <v>2.02311592268296</v>
      </c>
      <c r="D115">
        <v>12</v>
      </c>
      <c r="E115">
        <v>0.16859299355691329</v>
      </c>
      <c r="F115">
        <v>0.18557846937416869</v>
      </c>
      <c r="G115" s="2">
        <v>90.847281004883897</v>
      </c>
    </row>
    <row r="116" spans="1:7" x14ac:dyDescent="0.35">
      <c r="A116" t="s">
        <v>106</v>
      </c>
      <c r="B116" t="s">
        <v>0</v>
      </c>
      <c r="C116">
        <v>0.22932651321398101</v>
      </c>
      <c r="D116">
        <v>14</v>
      </c>
      <c r="E116">
        <v>1.6380465229570072E-2</v>
      </c>
      <c r="F116">
        <v>0.18557846937416869</v>
      </c>
      <c r="G116" s="2">
        <v>8.826705643607454</v>
      </c>
    </row>
    <row r="117" spans="1:7" x14ac:dyDescent="0.35">
      <c r="A117" t="s">
        <v>106</v>
      </c>
      <c r="B117" t="s">
        <v>62</v>
      </c>
      <c r="C117">
        <v>1.87553282182438E-2</v>
      </c>
      <c r="D117">
        <v>31</v>
      </c>
      <c r="E117">
        <v>6.0501058768528391E-4</v>
      </c>
      <c r="F117">
        <v>0.18557846937416869</v>
      </c>
      <c r="G117" s="2">
        <v>0.32601335150870558</v>
      </c>
    </row>
    <row r="118" spans="1:7" x14ac:dyDescent="0.35">
      <c r="A118" t="s">
        <v>106</v>
      </c>
      <c r="B118" t="s">
        <v>21</v>
      </c>
      <c r="C118">
        <v>0.82200359369339204</v>
      </c>
      <c r="D118">
        <v>12</v>
      </c>
      <c r="E118">
        <v>6.8500299474449342E-2</v>
      </c>
      <c r="F118">
        <v>7.3320086201669452E-2</v>
      </c>
      <c r="G118" s="2">
        <v>93.426376076586862</v>
      </c>
    </row>
    <row r="119" spans="1:7" x14ac:dyDescent="0.35">
      <c r="A119" t="s">
        <v>106</v>
      </c>
      <c r="B119" t="s">
        <v>0</v>
      </c>
      <c r="C119">
        <v>6.2801932367149801E-2</v>
      </c>
      <c r="D119">
        <v>14</v>
      </c>
      <c r="E119">
        <v>4.4858523119392724E-3</v>
      </c>
      <c r="F119">
        <v>7.3320086201669452E-2</v>
      </c>
      <c r="G119" s="2">
        <v>6.1181765384192</v>
      </c>
    </row>
    <row r="120" spans="1:7" x14ac:dyDescent="0.35">
      <c r="A120" t="s">
        <v>106</v>
      </c>
      <c r="B120" t="s">
        <v>62</v>
      </c>
      <c r="C120">
        <v>1.0351966873706001E-2</v>
      </c>
      <c r="D120">
        <v>31</v>
      </c>
      <c r="E120">
        <v>3.3393441528083872E-4</v>
      </c>
      <c r="F120">
        <v>7.3320086201669452E-2</v>
      </c>
      <c r="G120" s="2">
        <v>0.45544738499398463</v>
      </c>
    </row>
    <row r="121" spans="1:7" x14ac:dyDescent="0.35">
      <c r="A121" t="s">
        <v>106</v>
      </c>
      <c r="B121" t="s">
        <v>21</v>
      </c>
      <c r="C121">
        <v>1.7274704088952699</v>
      </c>
      <c r="D121">
        <v>12</v>
      </c>
      <c r="E121">
        <v>0.1439558674079392</v>
      </c>
      <c r="F121">
        <v>0.1511824647738722</v>
      </c>
      <c r="G121" s="2">
        <v>95.219950027444213</v>
      </c>
    </row>
    <row r="122" spans="1:7" x14ac:dyDescent="0.35">
      <c r="A122" t="s">
        <v>106</v>
      </c>
      <c r="B122" t="s">
        <v>0</v>
      </c>
      <c r="C122">
        <v>8.8952654232424697E-2</v>
      </c>
      <c r="D122">
        <v>14</v>
      </c>
      <c r="E122">
        <v>6.3537610166017637E-3</v>
      </c>
      <c r="F122">
        <v>0.1511824647738722</v>
      </c>
      <c r="G122" s="2">
        <v>4.2027102985159539</v>
      </c>
    </row>
    <row r="123" spans="1:7" x14ac:dyDescent="0.35">
      <c r="A123" t="s">
        <v>106</v>
      </c>
      <c r="B123" t="s">
        <v>62</v>
      </c>
      <c r="C123">
        <v>2.7057926829268299E-2</v>
      </c>
      <c r="D123">
        <v>31</v>
      </c>
      <c r="E123">
        <v>8.7283634933123548E-4</v>
      </c>
      <c r="F123">
        <v>0.1511824647738722</v>
      </c>
      <c r="G123" s="2">
        <v>0.57733967404008357</v>
      </c>
    </row>
    <row r="124" spans="1:7" x14ac:dyDescent="0.35">
      <c r="A124" t="s">
        <v>106</v>
      </c>
      <c r="B124" t="s">
        <v>21</v>
      </c>
      <c r="C124">
        <v>1.20677012928967</v>
      </c>
      <c r="D124">
        <v>12</v>
      </c>
      <c r="E124">
        <v>0.1005641774408058</v>
      </c>
      <c r="F124">
        <v>0.10786373291305811</v>
      </c>
      <c r="G124" s="2">
        <v>93.232613710730789</v>
      </c>
    </row>
    <row r="125" spans="1:7" x14ac:dyDescent="0.35">
      <c r="A125" t="s">
        <v>106</v>
      </c>
      <c r="B125" t="s">
        <v>0</v>
      </c>
      <c r="C125">
        <v>8.82134914751668E-2</v>
      </c>
      <c r="D125">
        <v>14</v>
      </c>
      <c r="E125">
        <v>6.3009636767976289E-3</v>
      </c>
      <c r="F125">
        <v>0.10786373291305811</v>
      </c>
      <c r="G125" s="2">
        <v>5.841596157140625</v>
      </c>
    </row>
    <row r="126" spans="1:7" x14ac:dyDescent="0.35">
      <c r="A126" t="s">
        <v>106</v>
      </c>
      <c r="B126" t="s">
        <v>62</v>
      </c>
      <c r="C126">
        <v>3.0956345659093901E-2</v>
      </c>
      <c r="D126">
        <v>31</v>
      </c>
      <c r="E126">
        <v>9.9859179545464189E-4</v>
      </c>
      <c r="F126">
        <v>0.10786373291305811</v>
      </c>
      <c r="G126" s="2">
        <v>0.92579013212860106</v>
      </c>
    </row>
    <row r="127" spans="1:7" x14ac:dyDescent="0.35">
      <c r="A127" t="s">
        <v>106</v>
      </c>
      <c r="B127" t="s">
        <v>21</v>
      </c>
      <c r="C127">
        <v>1.3132294445224399</v>
      </c>
      <c r="D127">
        <v>12</v>
      </c>
      <c r="E127">
        <v>0.10943578704353669</v>
      </c>
      <c r="F127">
        <v>0.1244318955801071</v>
      </c>
      <c r="G127" s="2">
        <v>87.948340361884078</v>
      </c>
    </row>
    <row r="128" spans="1:7" x14ac:dyDescent="0.35">
      <c r="A128" t="s">
        <v>106</v>
      </c>
      <c r="B128" t="s">
        <v>0</v>
      </c>
      <c r="C128">
        <v>0.20065359477124201</v>
      </c>
      <c r="D128">
        <v>14</v>
      </c>
      <c r="E128">
        <v>1.433239962651729E-2</v>
      </c>
      <c r="F128">
        <v>0.1244318955801071</v>
      </c>
      <c r="G128" s="2">
        <v>11.5182683344162</v>
      </c>
    </row>
    <row r="129" spans="1:7" x14ac:dyDescent="0.35">
      <c r="A129" t="s">
        <v>106</v>
      </c>
      <c r="B129" t="s">
        <v>62</v>
      </c>
      <c r="C129">
        <v>2.0574976211646199E-2</v>
      </c>
      <c r="D129">
        <v>31</v>
      </c>
      <c r="E129">
        <v>6.6370891005310324E-4</v>
      </c>
      <c r="F129">
        <v>0.1244318955801071</v>
      </c>
      <c r="G129" s="2">
        <v>0.53339130369979748</v>
      </c>
    </row>
    <row r="130" spans="1:7" x14ac:dyDescent="0.35">
      <c r="A130" t="s">
        <v>106</v>
      </c>
      <c r="B130" t="s">
        <v>21</v>
      </c>
      <c r="C130">
        <v>2.19853864512576</v>
      </c>
      <c r="D130">
        <v>12</v>
      </c>
      <c r="E130">
        <v>0.18321155376048001</v>
      </c>
      <c r="F130">
        <v>0.1999242695354792</v>
      </c>
      <c r="G130" s="2">
        <v>91.640476759609641</v>
      </c>
    </row>
    <row r="131" spans="1:7" x14ac:dyDescent="0.35">
      <c r="A131" t="s">
        <v>106</v>
      </c>
      <c r="B131" t="s">
        <v>0</v>
      </c>
      <c r="C131">
        <v>0.21333333333333299</v>
      </c>
      <c r="D131">
        <v>14</v>
      </c>
      <c r="E131">
        <v>1.523809523809521E-2</v>
      </c>
      <c r="F131">
        <v>0.1999242695354792</v>
      </c>
      <c r="G131" s="2">
        <v>7.6219336819390122</v>
      </c>
    </row>
    <row r="132" spans="1:7" x14ac:dyDescent="0.35">
      <c r="A132" t="s">
        <v>106</v>
      </c>
      <c r="B132" t="s">
        <v>62</v>
      </c>
      <c r="C132">
        <v>4.5713236644024199E-2</v>
      </c>
      <c r="D132">
        <v>31</v>
      </c>
      <c r="E132">
        <v>1.4746205369040059E-3</v>
      </c>
      <c r="F132">
        <v>0.1999242695354792</v>
      </c>
      <c r="G132" s="2">
        <v>0.73758955845143981</v>
      </c>
    </row>
    <row r="133" spans="1:7" x14ac:dyDescent="0.35">
      <c r="A133" t="s">
        <v>106</v>
      </c>
      <c r="B133" t="s">
        <v>21</v>
      </c>
      <c r="C133">
        <v>1.1367761717660301</v>
      </c>
      <c r="D133">
        <v>12</v>
      </c>
      <c r="E133">
        <v>9.4731347647169173E-2</v>
      </c>
      <c r="F133">
        <v>0.10353735494005729</v>
      </c>
      <c r="G133" s="2">
        <v>91.494850049060702</v>
      </c>
    </row>
    <row r="134" spans="1:7" x14ac:dyDescent="0.35">
      <c r="A134" t="s">
        <v>106</v>
      </c>
      <c r="B134" t="s">
        <v>0</v>
      </c>
      <c r="C134">
        <v>0.11472148541114099</v>
      </c>
      <c r="D134">
        <v>14</v>
      </c>
      <c r="E134">
        <v>8.1943918150814993E-3</v>
      </c>
      <c r="F134">
        <v>0.10353735494005729</v>
      </c>
      <c r="G134" s="2">
        <v>7.9144303230709561</v>
      </c>
    </row>
    <row r="135" spans="1:7" x14ac:dyDescent="0.35">
      <c r="A135" t="s">
        <v>106</v>
      </c>
      <c r="B135" t="s">
        <v>62</v>
      </c>
      <c r="C135">
        <v>1.89600798120068E-2</v>
      </c>
      <c r="D135">
        <v>31</v>
      </c>
      <c r="E135">
        <v>6.11615477806671E-4</v>
      </c>
      <c r="F135">
        <v>0.10353735494005729</v>
      </c>
      <c r="G135" s="2">
        <v>0.59071962786838073</v>
      </c>
    </row>
    <row r="136" spans="1:7" x14ac:dyDescent="0.35">
      <c r="A136" t="s">
        <v>106</v>
      </c>
      <c r="B136" t="s">
        <v>21</v>
      </c>
      <c r="C136">
        <v>1.0776939945369901</v>
      </c>
      <c r="D136">
        <v>12</v>
      </c>
      <c r="E136">
        <v>8.9807832878082514E-2</v>
      </c>
      <c r="F136">
        <v>9.9157463994057657E-2</v>
      </c>
      <c r="G136" s="2">
        <v>90.570925536643912</v>
      </c>
    </row>
    <row r="137" spans="1:7" x14ac:dyDescent="0.35">
      <c r="A137" t="s">
        <v>106</v>
      </c>
      <c r="B137" t="s">
        <v>0</v>
      </c>
      <c r="C137">
        <v>0.11990407673860901</v>
      </c>
      <c r="D137">
        <v>14</v>
      </c>
      <c r="E137">
        <v>8.5645769099006435E-3</v>
      </c>
      <c r="F137">
        <v>9.9157463994057657E-2</v>
      </c>
      <c r="G137" s="2">
        <v>8.6373496910065164</v>
      </c>
    </row>
    <row r="138" spans="1:7" x14ac:dyDescent="0.35">
      <c r="A138" t="s">
        <v>106</v>
      </c>
      <c r="B138" t="s">
        <v>62</v>
      </c>
      <c r="C138">
        <v>2.43366803883097E-2</v>
      </c>
      <c r="D138">
        <v>31</v>
      </c>
      <c r="E138">
        <v>7.850542060745064E-4</v>
      </c>
      <c r="F138">
        <v>9.9157463994057657E-2</v>
      </c>
      <c r="G138" s="2">
        <v>0.79172477234951555</v>
      </c>
    </row>
    <row r="139" spans="1:7" x14ac:dyDescent="0.35">
      <c r="A139" t="s">
        <v>106</v>
      </c>
      <c r="B139" t="s">
        <v>21</v>
      </c>
      <c r="C139">
        <v>0.83181425325384395</v>
      </c>
      <c r="D139">
        <v>12</v>
      </c>
      <c r="E139">
        <v>6.9317854437820334E-2</v>
      </c>
      <c r="F139">
        <v>7.6618156179243058E-2</v>
      </c>
      <c r="G139" s="2">
        <v>90.471838392529094</v>
      </c>
    </row>
    <row r="140" spans="1:7" x14ac:dyDescent="0.35">
      <c r="A140" t="s">
        <v>106</v>
      </c>
      <c r="B140" t="s">
        <v>0</v>
      </c>
      <c r="C140">
        <v>9.4151212553494998E-2</v>
      </c>
      <c r="D140">
        <v>14</v>
      </c>
      <c r="E140">
        <v>6.7250866109639287E-3</v>
      </c>
      <c r="F140">
        <v>7.6618156179243058E-2</v>
      </c>
      <c r="G140" s="2">
        <v>8.7774059652793479</v>
      </c>
    </row>
    <row r="141" spans="1:7" x14ac:dyDescent="0.35">
      <c r="A141" t="s">
        <v>106</v>
      </c>
      <c r="B141" t="s">
        <v>62</v>
      </c>
      <c r="C141">
        <v>1.7831669044222499E-2</v>
      </c>
      <c r="D141">
        <v>31</v>
      </c>
      <c r="E141">
        <v>5.7521513045879027E-4</v>
      </c>
      <c r="F141">
        <v>7.6618156179243058E-2</v>
      </c>
      <c r="G141" s="2">
        <v>0.7507556421915359</v>
      </c>
    </row>
    <row r="142" spans="1:7" x14ac:dyDescent="0.35">
      <c r="A142" t="s">
        <v>106</v>
      </c>
      <c r="B142" t="s">
        <v>21</v>
      </c>
      <c r="C142">
        <v>0.84360296778863497</v>
      </c>
      <c r="D142">
        <v>12</v>
      </c>
      <c r="E142">
        <v>7.0300247315719586E-2</v>
      </c>
      <c r="F142">
        <v>7.449756857585918E-2</v>
      </c>
      <c r="G142" s="2">
        <v>94.365827851327012</v>
      </c>
    </row>
    <row r="143" spans="1:7" x14ac:dyDescent="0.35">
      <c r="A143" t="s">
        <v>106</v>
      </c>
      <c r="B143" t="s">
        <v>0</v>
      </c>
      <c r="C143">
        <v>5.11695906432749E-2</v>
      </c>
      <c r="D143">
        <v>14</v>
      </c>
      <c r="E143">
        <v>3.654970760233921E-3</v>
      </c>
      <c r="F143">
        <v>7.449756857585918E-2</v>
      </c>
      <c r="G143" s="2">
        <v>4.9061611406983658</v>
      </c>
    </row>
    <row r="144" spans="1:7" x14ac:dyDescent="0.35">
      <c r="A144" t="s">
        <v>106</v>
      </c>
      <c r="B144" t="s">
        <v>62</v>
      </c>
      <c r="C144">
        <v>1.6812865497076002E-2</v>
      </c>
      <c r="D144">
        <v>31</v>
      </c>
      <c r="E144">
        <v>5.4235049990567744E-4</v>
      </c>
      <c r="F144">
        <v>7.449756857585918E-2</v>
      </c>
      <c r="G144" s="2">
        <v>0.7280110079745945</v>
      </c>
    </row>
    <row r="145" spans="1:7" x14ac:dyDescent="0.35">
      <c r="A145" t="s">
        <v>106</v>
      </c>
      <c r="B145" t="s">
        <v>21</v>
      </c>
      <c r="C145">
        <v>0.44305355233605298</v>
      </c>
      <c r="D145">
        <v>12</v>
      </c>
      <c r="E145">
        <v>3.6921129361337748E-2</v>
      </c>
      <c r="F145">
        <v>4.158572221426942E-2</v>
      </c>
      <c r="G145" s="2">
        <v>88.783186621366156</v>
      </c>
    </row>
    <row r="146" spans="1:7" x14ac:dyDescent="0.35">
      <c r="A146" t="s">
        <v>106</v>
      </c>
      <c r="B146" t="s">
        <v>0</v>
      </c>
      <c r="C146">
        <v>6.0297505005058899E-2</v>
      </c>
      <c r="D146">
        <v>14</v>
      </c>
      <c r="E146">
        <v>4.3069646432184932E-3</v>
      </c>
      <c r="F146">
        <v>4.158572221426942E-2</v>
      </c>
      <c r="G146" s="2">
        <v>10.35683502387421</v>
      </c>
    </row>
    <row r="147" spans="1:7" x14ac:dyDescent="0.35">
      <c r="A147" t="s">
        <v>106</v>
      </c>
      <c r="B147" t="s">
        <v>62</v>
      </c>
      <c r="C147">
        <v>1.10864745011086E-2</v>
      </c>
      <c r="D147">
        <v>31</v>
      </c>
      <c r="E147">
        <v>3.5762820971318071E-4</v>
      </c>
      <c r="F147">
        <v>4.158572221426942E-2</v>
      </c>
      <c r="G147" s="2">
        <v>0.85997835475962148</v>
      </c>
    </row>
    <row r="148" spans="1:7" x14ac:dyDescent="0.35">
      <c r="A148" t="s">
        <v>106</v>
      </c>
      <c r="B148" t="s">
        <v>21</v>
      </c>
      <c r="C148">
        <v>0.69019250221015205</v>
      </c>
      <c r="D148">
        <v>12</v>
      </c>
      <c r="E148">
        <v>5.7516041850846002E-2</v>
      </c>
      <c r="F148">
        <v>5.8136882145326363E-2</v>
      </c>
      <c r="G148" s="2">
        <v>98.932105968585631</v>
      </c>
    </row>
    <row r="149" spans="1:7" x14ac:dyDescent="0.35">
      <c r="A149" t="s">
        <v>106</v>
      </c>
      <c r="B149" t="s">
        <v>0</v>
      </c>
      <c r="C149">
        <v>5.3574604893925903E-3</v>
      </c>
      <c r="D149">
        <v>14</v>
      </c>
      <c r="E149">
        <v>3.8267574924232792E-4</v>
      </c>
      <c r="F149">
        <v>5.8136882145326363E-2</v>
      </c>
      <c r="G149" s="2">
        <v>0.65823232192903436</v>
      </c>
    </row>
    <row r="150" spans="1:7" x14ac:dyDescent="0.35">
      <c r="A150" t="s">
        <v>106</v>
      </c>
      <c r="B150" t="s">
        <v>62</v>
      </c>
      <c r="C150">
        <v>7.3831009023789997E-3</v>
      </c>
      <c r="D150">
        <v>31</v>
      </c>
      <c r="E150">
        <v>2.3816454523803229E-4</v>
      </c>
      <c r="F150">
        <v>5.8136882145326363E-2</v>
      </c>
      <c r="G150" s="2">
        <v>0.40966170948535879</v>
      </c>
    </row>
    <row r="151" spans="1:7" x14ac:dyDescent="0.35">
      <c r="A151" t="s">
        <v>106</v>
      </c>
      <c r="B151" t="s">
        <v>21</v>
      </c>
      <c r="C151">
        <v>0.48777021937133302</v>
      </c>
      <c r="D151">
        <v>12</v>
      </c>
      <c r="E151">
        <v>4.0647518280944421E-2</v>
      </c>
      <c r="F151">
        <v>4.6010662535713377E-2</v>
      </c>
      <c r="G151" s="2">
        <v>88.343692615584274</v>
      </c>
    </row>
    <row r="152" spans="1:7" x14ac:dyDescent="0.35">
      <c r="A152" t="s">
        <v>106</v>
      </c>
      <c r="B152" t="s">
        <v>0</v>
      </c>
      <c r="C152">
        <v>7.4049238706142897E-2</v>
      </c>
      <c r="D152">
        <v>14</v>
      </c>
      <c r="E152">
        <v>5.2892313361530639E-3</v>
      </c>
      <c r="F152">
        <v>4.6010662535713377E-2</v>
      </c>
      <c r="G152" s="2">
        <v>11.49566436268457</v>
      </c>
    </row>
    <row r="153" spans="1:7" x14ac:dyDescent="0.35">
      <c r="A153" t="s">
        <v>106</v>
      </c>
      <c r="B153" t="s">
        <v>62</v>
      </c>
      <c r="C153">
        <v>2.2913004770927E-3</v>
      </c>
      <c r="D153">
        <v>31</v>
      </c>
      <c r="E153">
        <v>7.3912918615893551E-5</v>
      </c>
      <c r="F153">
        <v>4.6010662535713377E-2</v>
      </c>
      <c r="G153" s="2">
        <v>0.16064302173115311</v>
      </c>
    </row>
    <row r="154" spans="1:7" x14ac:dyDescent="0.35">
      <c r="A154" t="s">
        <v>106</v>
      </c>
      <c r="B154" t="s">
        <v>21</v>
      </c>
      <c r="C154">
        <v>0.26715931153065298</v>
      </c>
      <c r="D154">
        <v>12</v>
      </c>
      <c r="E154">
        <v>2.226327596088775E-2</v>
      </c>
      <c r="F154">
        <v>2.7342224884075679E-2</v>
      </c>
      <c r="G154" s="2">
        <v>81.424522164083456</v>
      </c>
    </row>
    <row r="155" spans="1:7" x14ac:dyDescent="0.35">
      <c r="A155" t="s">
        <v>106</v>
      </c>
      <c r="B155" t="s">
        <v>0</v>
      </c>
      <c r="C155">
        <v>6.6890663430061503E-2</v>
      </c>
      <c r="D155">
        <v>14</v>
      </c>
      <c r="E155">
        <v>4.7779045307186794E-3</v>
      </c>
      <c r="F155">
        <v>2.7342224884075679E-2</v>
      </c>
      <c r="G155" s="2">
        <v>17.47445407597889</v>
      </c>
    </row>
    <row r="156" spans="1:7" x14ac:dyDescent="0.35">
      <c r="A156" t="s">
        <v>106</v>
      </c>
      <c r="B156" t="s">
        <v>62</v>
      </c>
      <c r="C156">
        <v>9.3323761665470208E-3</v>
      </c>
      <c r="D156">
        <v>31</v>
      </c>
      <c r="E156">
        <v>3.0104439246925868E-4</v>
      </c>
      <c r="F156">
        <v>2.7342224884075679E-2</v>
      </c>
      <c r="G156" s="2">
        <v>1.1010237599376529</v>
      </c>
    </row>
    <row r="157" spans="1:7" x14ac:dyDescent="0.35">
      <c r="A157" t="s">
        <v>106</v>
      </c>
      <c r="B157" t="s">
        <v>21</v>
      </c>
      <c r="C157">
        <v>2.6989036849632799</v>
      </c>
      <c r="D157">
        <v>12</v>
      </c>
      <c r="E157">
        <v>0.2249086404136067</v>
      </c>
      <c r="F157">
        <v>0.23106985224941229</v>
      </c>
      <c r="G157" s="2">
        <v>97.333615019083069</v>
      </c>
    </row>
    <row r="158" spans="1:7" x14ac:dyDescent="0.35">
      <c r="A158" t="s">
        <v>106</v>
      </c>
      <c r="B158" t="s">
        <v>0</v>
      </c>
      <c r="C158">
        <v>8.5158150851581502E-2</v>
      </c>
      <c r="D158">
        <v>14</v>
      </c>
      <c r="E158">
        <v>6.0827250608272501E-3</v>
      </c>
      <c r="F158">
        <v>0.23106985224941229</v>
      </c>
      <c r="G158" s="2">
        <v>2.632418293262111</v>
      </c>
    </row>
    <row r="159" spans="1:7" x14ac:dyDescent="0.35">
      <c r="A159" t="s">
        <v>106</v>
      </c>
      <c r="B159" t="s">
        <v>62</v>
      </c>
      <c r="C159">
        <v>2.4330900243308999E-3</v>
      </c>
      <c r="D159">
        <v>31</v>
      </c>
      <c r="E159">
        <v>7.8486774978416124E-5</v>
      </c>
      <c r="F159">
        <v>0.23106985224941229</v>
      </c>
      <c r="G159" s="2">
        <v>3.396668765499497E-2</v>
      </c>
    </row>
    <row r="160" spans="1:7" x14ac:dyDescent="0.35">
      <c r="A160" t="s">
        <v>106</v>
      </c>
      <c r="B160" t="s">
        <v>21</v>
      </c>
      <c r="C160">
        <v>0.71569417294837401</v>
      </c>
      <c r="D160">
        <v>12</v>
      </c>
      <c r="E160">
        <v>5.9641181079031172E-2</v>
      </c>
      <c r="F160">
        <v>6.2838118953519345E-2</v>
      </c>
      <c r="G160" s="2">
        <v>94.912422701811067</v>
      </c>
    </row>
    <row r="161" spans="1:7" x14ac:dyDescent="0.35">
      <c r="A161" t="s">
        <v>106</v>
      </c>
      <c r="B161" t="s">
        <v>0</v>
      </c>
      <c r="C161">
        <v>4.2035398230088498E-2</v>
      </c>
      <c r="D161">
        <v>14</v>
      </c>
      <c r="E161">
        <v>3.0025284450063208E-3</v>
      </c>
      <c r="F161">
        <v>6.2838118953519345E-2</v>
      </c>
      <c r="G161" s="2">
        <v>4.7781959342660416</v>
      </c>
    </row>
    <row r="162" spans="1:7" x14ac:dyDescent="0.35">
      <c r="A162" t="s">
        <v>106</v>
      </c>
      <c r="B162" t="s">
        <v>62</v>
      </c>
      <c r="C162">
        <v>6.0266923139375801E-3</v>
      </c>
      <c r="D162">
        <v>31</v>
      </c>
      <c r="E162">
        <v>1.944094294818574E-4</v>
      </c>
      <c r="F162">
        <v>6.2838118953519345E-2</v>
      </c>
      <c r="G162" s="2">
        <v>0.30938136392284399</v>
      </c>
    </row>
    <row r="163" spans="1:7" x14ac:dyDescent="0.35">
      <c r="A163" t="s">
        <v>106</v>
      </c>
      <c r="B163" t="s">
        <v>21</v>
      </c>
      <c r="C163">
        <v>1.1751746901428599</v>
      </c>
      <c r="D163">
        <v>12</v>
      </c>
      <c r="E163">
        <v>9.7931224178571655E-2</v>
      </c>
      <c r="F163">
        <v>0.1019004609352519</v>
      </c>
      <c r="G163" s="2">
        <v>96.104790184214679</v>
      </c>
    </row>
    <row r="164" spans="1:7" x14ac:dyDescent="0.35">
      <c r="A164" t="s">
        <v>106</v>
      </c>
      <c r="B164" t="s">
        <v>0</v>
      </c>
      <c r="C164">
        <v>4.1266794625719798E-2</v>
      </c>
      <c r="D164">
        <v>14</v>
      </c>
      <c r="E164">
        <v>2.9476281875514139E-3</v>
      </c>
      <c r="F164">
        <v>0.1019004609352519</v>
      </c>
      <c r="G164" s="2">
        <v>2.8926544203017368</v>
      </c>
    </row>
    <row r="165" spans="1:7" x14ac:dyDescent="0.35">
      <c r="A165" t="s">
        <v>106</v>
      </c>
      <c r="B165" t="s">
        <v>62</v>
      </c>
      <c r="C165">
        <v>3.1669865642994198E-2</v>
      </c>
      <c r="D165">
        <v>31</v>
      </c>
      <c r="E165">
        <v>1.021608569128845E-3</v>
      </c>
      <c r="F165">
        <v>0.1019004609352519</v>
      </c>
      <c r="G165" s="2">
        <v>1.002555395483421</v>
      </c>
    </row>
    <row r="166" spans="1:7" x14ac:dyDescent="0.35">
      <c r="A166" t="s">
        <v>106</v>
      </c>
      <c r="B166" t="s">
        <v>21</v>
      </c>
      <c r="C166">
        <v>0.65669514586079802</v>
      </c>
      <c r="D166">
        <v>12</v>
      </c>
      <c r="E166">
        <v>5.4724595488399842E-2</v>
      </c>
      <c r="F166">
        <v>5.7500183652358122E-2</v>
      </c>
      <c r="G166" s="2">
        <v>95.172905567155553</v>
      </c>
    </row>
    <row r="167" spans="1:7" x14ac:dyDescent="0.35">
      <c r="A167" t="s">
        <v>106</v>
      </c>
      <c r="B167" t="s">
        <v>0</v>
      </c>
      <c r="C167">
        <v>3.6184210526315798E-2</v>
      </c>
      <c r="D167">
        <v>14</v>
      </c>
      <c r="E167">
        <v>2.5845864661654138E-3</v>
      </c>
      <c r="F167">
        <v>5.7500183652358122E-2</v>
      </c>
      <c r="G167" s="2">
        <v>4.4949186280719244</v>
      </c>
    </row>
    <row r="168" spans="1:7" x14ac:dyDescent="0.35">
      <c r="A168" t="s">
        <v>106</v>
      </c>
      <c r="B168" t="s">
        <v>62</v>
      </c>
      <c r="C168">
        <v>5.9210526315789502E-3</v>
      </c>
      <c r="D168">
        <v>31</v>
      </c>
      <c r="E168">
        <v>1.9100169779286941E-4</v>
      </c>
      <c r="F168">
        <v>5.7500183652358122E-2</v>
      </c>
      <c r="G168" s="2">
        <v>0.33217580477247077</v>
      </c>
    </row>
    <row r="169" spans="1:7" x14ac:dyDescent="0.35">
      <c r="A169" t="s">
        <v>106</v>
      </c>
      <c r="B169" t="s">
        <v>21</v>
      </c>
      <c r="C169">
        <v>0.88775246147994302</v>
      </c>
      <c r="D169">
        <v>12</v>
      </c>
      <c r="E169">
        <v>7.3979371789995252E-2</v>
      </c>
      <c r="F169">
        <v>7.9555184952717281E-2</v>
      </c>
      <c r="G169" s="2">
        <v>92.991263654234515</v>
      </c>
    </row>
    <row r="170" spans="1:7" x14ac:dyDescent="0.35">
      <c r="A170" t="s">
        <v>106</v>
      </c>
      <c r="B170" t="s">
        <v>0</v>
      </c>
      <c r="C170">
        <v>7.0388349514563103E-2</v>
      </c>
      <c r="D170">
        <v>14</v>
      </c>
      <c r="E170">
        <v>5.0277392510402214E-3</v>
      </c>
      <c r="F170">
        <v>7.9555184952717281E-2</v>
      </c>
      <c r="G170" s="2">
        <v>6.3198134150884062</v>
      </c>
    </row>
    <row r="171" spans="1:7" x14ac:dyDescent="0.35">
      <c r="A171" t="s">
        <v>106</v>
      </c>
      <c r="B171" t="s">
        <v>62</v>
      </c>
      <c r="C171">
        <v>1.6990291262135901E-2</v>
      </c>
      <c r="D171">
        <v>31</v>
      </c>
      <c r="E171">
        <v>5.4807391168180323E-4</v>
      </c>
      <c r="F171">
        <v>7.9555184952717281E-2</v>
      </c>
      <c r="G171" s="2">
        <v>0.68892293067704446</v>
      </c>
    </row>
    <row r="172" spans="1:7" x14ac:dyDescent="0.35">
      <c r="A172" t="s">
        <v>106</v>
      </c>
      <c r="B172" t="s">
        <v>21</v>
      </c>
      <c r="C172">
        <v>1.5471778206531499</v>
      </c>
      <c r="D172">
        <v>12</v>
      </c>
      <c r="E172">
        <v>0.1289314850544292</v>
      </c>
      <c r="F172">
        <v>0.13779996028158009</v>
      </c>
      <c r="G172" s="2">
        <v>93.564239634736225</v>
      </c>
    </row>
    <row r="173" spans="1:7" x14ac:dyDescent="0.35">
      <c r="A173" t="s">
        <v>106</v>
      </c>
      <c r="B173" t="s">
        <v>0</v>
      </c>
      <c r="C173">
        <v>0.114754098360656</v>
      </c>
      <c r="D173">
        <v>14</v>
      </c>
      <c r="E173">
        <v>8.1967213114754293E-3</v>
      </c>
      <c r="F173">
        <v>0.13779996028158009</v>
      </c>
      <c r="G173" s="2">
        <v>5.9482755254255917</v>
      </c>
    </row>
    <row r="174" spans="1:7" x14ac:dyDescent="0.35">
      <c r="A174" t="s">
        <v>106</v>
      </c>
      <c r="B174" t="s">
        <v>62</v>
      </c>
      <c r="C174">
        <v>2.08243713859394E-2</v>
      </c>
      <c r="D174">
        <v>31</v>
      </c>
      <c r="E174">
        <v>6.7175391567546447E-4</v>
      </c>
      <c r="F174">
        <v>0.13779996028158009</v>
      </c>
      <c r="G174" s="2">
        <v>0.4874848398379818</v>
      </c>
    </row>
    <row r="175" spans="1:7" x14ac:dyDescent="0.35">
      <c r="A175" t="s">
        <v>106</v>
      </c>
      <c r="B175" t="s">
        <v>21</v>
      </c>
      <c r="C175">
        <v>1.38991916203913</v>
      </c>
      <c r="D175">
        <v>12</v>
      </c>
      <c r="E175">
        <v>0.1158265968365942</v>
      </c>
      <c r="F175">
        <v>0.1249632528096966</v>
      </c>
      <c r="G175" s="2">
        <v>92.688525812451033</v>
      </c>
    </row>
    <row r="176" spans="1:7" x14ac:dyDescent="0.35">
      <c r="A176" t="s">
        <v>106</v>
      </c>
      <c r="B176" t="s">
        <v>0</v>
      </c>
      <c r="C176">
        <v>0.12097351467430199</v>
      </c>
      <c r="D176">
        <v>14</v>
      </c>
      <c r="E176">
        <v>8.6409653338787133E-3</v>
      </c>
      <c r="F176">
        <v>0.1249632528096966</v>
      </c>
      <c r="G176" s="2">
        <v>6.9148050643638532</v>
      </c>
    </row>
    <row r="177" spans="1:7" x14ac:dyDescent="0.35">
      <c r="A177" t="s">
        <v>106</v>
      </c>
      <c r="B177" t="s">
        <v>62</v>
      </c>
      <c r="C177">
        <v>1.53664098159345E-2</v>
      </c>
      <c r="D177">
        <v>31</v>
      </c>
      <c r="E177">
        <v>4.9569063922369353E-4</v>
      </c>
      <c r="F177">
        <v>0.1249632528096966</v>
      </c>
      <c r="G177" s="2">
        <v>0.3966691231850118</v>
      </c>
    </row>
    <row r="178" spans="1:7" x14ac:dyDescent="0.35">
      <c r="A178" t="s">
        <v>106</v>
      </c>
      <c r="B178" t="s">
        <v>21</v>
      </c>
      <c r="C178">
        <v>1.62427871573701</v>
      </c>
      <c r="D178">
        <v>12</v>
      </c>
      <c r="E178">
        <v>0.1353565596447508</v>
      </c>
      <c r="F178">
        <v>0.1507352133626961</v>
      </c>
      <c r="G178" s="2">
        <v>89.797570604194803</v>
      </c>
    </row>
    <row r="179" spans="1:7" x14ac:dyDescent="0.35">
      <c r="A179" t="s">
        <v>106</v>
      </c>
      <c r="B179" t="s">
        <v>0</v>
      </c>
      <c r="C179">
        <v>0.209043736100815</v>
      </c>
      <c r="D179">
        <v>14</v>
      </c>
      <c r="E179">
        <v>1.49316954357725E-2</v>
      </c>
      <c r="F179">
        <v>0.1507352133626961</v>
      </c>
      <c r="G179" s="2">
        <v>9.9059105717017406</v>
      </c>
    </row>
    <row r="180" spans="1:7" x14ac:dyDescent="0.35">
      <c r="A180" t="s">
        <v>106</v>
      </c>
      <c r="B180" t="s">
        <v>62</v>
      </c>
      <c r="C180">
        <v>1.38557067473554E-2</v>
      </c>
      <c r="D180">
        <v>31</v>
      </c>
      <c r="E180">
        <v>4.4695828217275479E-4</v>
      </c>
      <c r="F180">
        <v>0.1507352133626961</v>
      </c>
      <c r="G180" s="2">
        <v>0.29651882410335823</v>
      </c>
    </row>
    <row r="181" spans="1:7" x14ac:dyDescent="0.35">
      <c r="A181" t="s">
        <v>106</v>
      </c>
      <c r="B181" t="s">
        <v>21</v>
      </c>
      <c r="C181">
        <v>1.56536940441851</v>
      </c>
      <c r="D181">
        <v>12</v>
      </c>
      <c r="E181">
        <v>0.13044745036820921</v>
      </c>
      <c r="F181">
        <v>0.13781461387458771</v>
      </c>
      <c r="G181" s="2">
        <v>94.654294418237413</v>
      </c>
    </row>
    <row r="182" spans="1:7" x14ac:dyDescent="0.35">
      <c r="A182" t="s">
        <v>106</v>
      </c>
      <c r="B182" t="s">
        <v>0</v>
      </c>
      <c r="C182">
        <v>0.10042735042735</v>
      </c>
      <c r="D182">
        <v>14</v>
      </c>
      <c r="E182">
        <v>7.1733821733821427E-3</v>
      </c>
      <c r="F182">
        <v>0.13781461387458771</v>
      </c>
      <c r="G182" s="2">
        <v>5.205095433427676</v>
      </c>
    </row>
    <row r="183" spans="1:7" x14ac:dyDescent="0.35">
      <c r="A183" t="s">
        <v>106</v>
      </c>
      <c r="B183" t="s">
        <v>62</v>
      </c>
      <c r="C183">
        <v>6.0072213228877297E-3</v>
      </c>
      <c r="D183">
        <v>31</v>
      </c>
      <c r="E183">
        <v>1.937813329963784E-4</v>
      </c>
      <c r="F183">
        <v>0.13781461387458771</v>
      </c>
      <c r="G183" s="2">
        <v>0.14061014833500959</v>
      </c>
    </row>
    <row r="184" spans="1:7" x14ac:dyDescent="0.35">
      <c r="A184" t="s">
        <v>106</v>
      </c>
      <c r="B184" t="s">
        <v>21</v>
      </c>
      <c r="C184">
        <v>1.2408937223326</v>
      </c>
      <c r="D184">
        <v>12</v>
      </c>
      <c r="E184">
        <v>0.1034078101943833</v>
      </c>
      <c r="F184">
        <v>0.1077418305393734</v>
      </c>
      <c r="G184" s="2">
        <v>95.977402348471969</v>
      </c>
    </row>
    <row r="185" spans="1:7" x14ac:dyDescent="0.35">
      <c r="A185" t="s">
        <v>106</v>
      </c>
      <c r="B185" t="s">
        <v>0</v>
      </c>
      <c r="C185">
        <v>4.4529262086513997E-2</v>
      </c>
      <c r="D185">
        <v>14</v>
      </c>
      <c r="E185">
        <v>3.1806615776081432E-3</v>
      </c>
      <c r="F185">
        <v>0.1077418305393734</v>
      </c>
      <c r="G185" s="2">
        <v>2.9521139205499138</v>
      </c>
    </row>
    <row r="186" spans="1:7" x14ac:dyDescent="0.35">
      <c r="A186" t="s">
        <v>106</v>
      </c>
      <c r="B186" t="s">
        <v>62</v>
      </c>
      <c r="C186">
        <v>3.5754121788838897E-2</v>
      </c>
      <c r="D186">
        <v>31</v>
      </c>
      <c r="E186">
        <v>1.1533587673818999E-3</v>
      </c>
      <c r="F186">
        <v>0.1077418305393734</v>
      </c>
      <c r="G186" s="2">
        <v>1.0704837309780191</v>
      </c>
    </row>
    <row r="187" spans="1:7" x14ac:dyDescent="0.35">
      <c r="A187" t="s">
        <v>106</v>
      </c>
      <c r="B187" t="s">
        <v>21</v>
      </c>
      <c r="C187">
        <v>1.88370534614437</v>
      </c>
      <c r="D187">
        <v>12</v>
      </c>
      <c r="E187">
        <v>0.1569754455120308</v>
      </c>
      <c r="F187">
        <v>0.17268744921774029</v>
      </c>
      <c r="G187" s="2">
        <v>90.901479072808385</v>
      </c>
    </row>
    <row r="188" spans="1:7" x14ac:dyDescent="0.35">
      <c r="A188" t="s">
        <v>106</v>
      </c>
      <c r="B188" t="s">
        <v>0</v>
      </c>
      <c r="C188">
        <v>0.203252032520325</v>
      </c>
      <c r="D188">
        <v>14</v>
      </c>
      <c r="E188">
        <v>1.451800232288036E-2</v>
      </c>
      <c r="F188">
        <v>0.17268744921774029</v>
      </c>
      <c r="G188" s="2">
        <v>8.4070975561024799</v>
      </c>
    </row>
    <row r="189" spans="1:7" x14ac:dyDescent="0.35">
      <c r="A189" t="s">
        <v>106</v>
      </c>
      <c r="B189" t="s">
        <v>62</v>
      </c>
      <c r="C189">
        <v>3.7014042867701401E-2</v>
      </c>
      <c r="D189">
        <v>31</v>
      </c>
      <c r="E189">
        <v>1.1940013828290769E-3</v>
      </c>
      <c r="F189">
        <v>0.17268744921774029</v>
      </c>
      <c r="G189" s="2">
        <v>0.69142337108909979</v>
      </c>
    </row>
    <row r="190" spans="1:7" x14ac:dyDescent="0.35">
      <c r="A190" t="s">
        <v>106</v>
      </c>
      <c r="B190" t="s">
        <v>21</v>
      </c>
      <c r="C190">
        <v>1.18104380800319</v>
      </c>
      <c r="D190">
        <v>12</v>
      </c>
      <c r="E190">
        <v>9.8420317333599169E-2</v>
      </c>
      <c r="F190">
        <v>0.1022840560169264</v>
      </c>
      <c r="G190" s="2">
        <v>96.222540605264896</v>
      </c>
    </row>
    <row r="191" spans="1:7" x14ac:dyDescent="0.35">
      <c r="A191" t="s">
        <v>106</v>
      </c>
      <c r="B191" t="s">
        <v>0</v>
      </c>
      <c r="C191">
        <v>4.8298572996706902E-2</v>
      </c>
      <c r="D191">
        <v>14</v>
      </c>
      <c r="E191">
        <v>3.4498980711933501E-3</v>
      </c>
      <c r="F191">
        <v>0.1022840560169264</v>
      </c>
      <c r="G191" s="2">
        <v>3.3728600580939379</v>
      </c>
    </row>
    <row r="192" spans="1:7" x14ac:dyDescent="0.35">
      <c r="A192" t="s">
        <v>106</v>
      </c>
      <c r="B192" t="s">
        <v>62</v>
      </c>
      <c r="C192">
        <v>1.2829058976150101E-2</v>
      </c>
      <c r="D192">
        <v>31</v>
      </c>
      <c r="E192">
        <v>4.138406121338742E-4</v>
      </c>
      <c r="F192">
        <v>0.1022840560169264</v>
      </c>
      <c r="G192" s="2">
        <v>0.40459933664088271</v>
      </c>
    </row>
    <row r="193" spans="1:7" x14ac:dyDescent="0.35">
      <c r="A193" t="s">
        <v>106</v>
      </c>
      <c r="B193" t="s">
        <v>21</v>
      </c>
      <c r="C193">
        <v>1.33542355304945</v>
      </c>
      <c r="D193">
        <v>12</v>
      </c>
      <c r="E193">
        <v>0.1112852960874542</v>
      </c>
      <c r="F193">
        <v>0.11743521486211191</v>
      </c>
      <c r="G193" s="2">
        <v>94.763139164109447</v>
      </c>
    </row>
    <row r="194" spans="1:7" x14ac:dyDescent="0.35">
      <c r="A194" t="s">
        <v>106</v>
      </c>
      <c r="B194" t="s">
        <v>0</v>
      </c>
      <c r="C194">
        <v>7.9136690647481994E-2</v>
      </c>
      <c r="D194">
        <v>14</v>
      </c>
      <c r="E194">
        <v>5.6526207605344294E-3</v>
      </c>
      <c r="F194">
        <v>0.11743521486211191</v>
      </c>
      <c r="G194" s="2">
        <v>4.8133950001041166</v>
      </c>
    </row>
    <row r="195" spans="1:7" x14ac:dyDescent="0.35">
      <c r="A195" t="s">
        <v>106</v>
      </c>
      <c r="B195" t="s">
        <v>62</v>
      </c>
      <c r="C195">
        <v>1.54162384378212E-2</v>
      </c>
      <c r="D195">
        <v>31</v>
      </c>
      <c r="E195">
        <v>4.9729801412326448E-4</v>
      </c>
      <c r="F195">
        <v>0.11743521486211191</v>
      </c>
      <c r="G195" s="2">
        <v>0.42346583578628683</v>
      </c>
    </row>
    <row r="196" spans="1:7" x14ac:dyDescent="0.35">
      <c r="A196" t="s">
        <v>106</v>
      </c>
      <c r="B196" t="s">
        <v>21</v>
      </c>
      <c r="C196">
        <v>1.0742770081005399</v>
      </c>
      <c r="D196">
        <v>12</v>
      </c>
      <c r="E196">
        <v>8.9523084008378329E-2</v>
      </c>
      <c r="F196">
        <v>9.5462556571597162E-2</v>
      </c>
      <c r="G196" s="2">
        <v>93.778217579199179</v>
      </c>
    </row>
    <row r="197" spans="1:7" x14ac:dyDescent="0.35">
      <c r="A197" t="s">
        <v>106</v>
      </c>
      <c r="B197" t="s">
        <v>0</v>
      </c>
      <c r="C197">
        <v>7.9831932773109293E-2</v>
      </c>
      <c r="D197">
        <v>14</v>
      </c>
      <c r="E197">
        <v>5.7022809123649498E-3</v>
      </c>
      <c r="F197">
        <v>9.5462556571597162E-2</v>
      </c>
      <c r="G197" s="2">
        <v>5.9733167821545141</v>
      </c>
    </row>
    <row r="198" spans="1:7" x14ac:dyDescent="0.35">
      <c r="A198" t="s">
        <v>106</v>
      </c>
      <c r="B198" t="s">
        <v>62</v>
      </c>
      <c r="C198">
        <v>7.3529411764705899E-3</v>
      </c>
      <c r="D198">
        <v>31</v>
      </c>
      <c r="E198">
        <v>2.3719165085389E-4</v>
      </c>
      <c r="F198">
        <v>9.5462556571597162E-2</v>
      </c>
      <c r="G198" s="2">
        <v>0.24846563864649501</v>
      </c>
    </row>
    <row r="199" spans="1:7" x14ac:dyDescent="0.35">
      <c r="A199" t="s">
        <v>106</v>
      </c>
      <c r="B199" t="s">
        <v>21</v>
      </c>
      <c r="C199">
        <v>1.66560553633218</v>
      </c>
      <c r="D199">
        <v>12</v>
      </c>
      <c r="E199">
        <v>0.13880046136101501</v>
      </c>
      <c r="F199">
        <v>0.1581495397020288</v>
      </c>
      <c r="G199" s="2">
        <v>87.765327437898577</v>
      </c>
    </row>
    <row r="200" spans="1:7" x14ac:dyDescent="0.35">
      <c r="A200" t="s">
        <v>106</v>
      </c>
      <c r="B200" t="s">
        <v>0</v>
      </c>
      <c r="C200">
        <v>0.25</v>
      </c>
      <c r="D200">
        <v>14</v>
      </c>
      <c r="E200">
        <v>1.785714285714286E-2</v>
      </c>
      <c r="F200">
        <v>0.1581495397020288</v>
      </c>
      <c r="G200" s="2">
        <v>11.291302453859609</v>
      </c>
    </row>
    <row r="201" spans="1:7" x14ac:dyDescent="0.35">
      <c r="A201" t="s">
        <v>106</v>
      </c>
      <c r="B201" t="s">
        <v>62</v>
      </c>
      <c r="C201">
        <v>4.6249999999999999E-2</v>
      </c>
      <c r="D201">
        <v>31</v>
      </c>
      <c r="E201">
        <v>1.491935483870968E-3</v>
      </c>
      <c r="F201">
        <v>0.1581495397020288</v>
      </c>
      <c r="G201" s="2">
        <v>0.94337010824181899</v>
      </c>
    </row>
    <row r="202" spans="1:7" x14ac:dyDescent="0.35">
      <c r="A202" t="s">
        <v>106</v>
      </c>
      <c r="B202" t="s">
        <v>21</v>
      </c>
      <c r="C202">
        <v>1.52226424754936</v>
      </c>
      <c r="D202">
        <v>12</v>
      </c>
      <c r="E202">
        <v>0.12685535396244671</v>
      </c>
      <c r="F202">
        <v>0.1425746989026708</v>
      </c>
      <c r="G202" s="2">
        <v>88.974660257949907</v>
      </c>
    </row>
    <row r="203" spans="1:7" x14ac:dyDescent="0.35">
      <c r="A203" t="s">
        <v>106</v>
      </c>
      <c r="B203" t="s">
        <v>0</v>
      </c>
      <c r="C203">
        <v>0.21360381861575201</v>
      </c>
      <c r="D203">
        <v>14</v>
      </c>
      <c r="E203">
        <v>1.5257415615410859E-2</v>
      </c>
      <c r="F203">
        <v>0.1425746989026708</v>
      </c>
      <c r="G203" s="2">
        <v>10.701348649402631</v>
      </c>
    </row>
    <row r="204" spans="1:7" x14ac:dyDescent="0.35">
      <c r="A204" t="s">
        <v>106</v>
      </c>
      <c r="B204" t="s">
        <v>62</v>
      </c>
      <c r="C204">
        <v>1.4319809069212401E-2</v>
      </c>
      <c r="D204">
        <v>31</v>
      </c>
      <c r="E204">
        <v>4.6192932481330318E-4</v>
      </c>
      <c r="F204">
        <v>0.1425746989026708</v>
      </c>
      <c r="G204" s="2">
        <v>0.32399109264725873</v>
      </c>
    </row>
    <row r="205" spans="1:7" x14ac:dyDescent="0.35">
      <c r="A205" t="s">
        <v>106</v>
      </c>
      <c r="B205" t="s">
        <v>21</v>
      </c>
      <c r="C205">
        <v>0.53260898002752299</v>
      </c>
      <c r="D205">
        <v>12</v>
      </c>
      <c r="E205">
        <v>4.4384081668960247E-2</v>
      </c>
      <c r="F205">
        <v>4.8715114041754097E-2</v>
      </c>
      <c r="G205" s="2">
        <v>91.109468882528574</v>
      </c>
    </row>
    <row r="206" spans="1:7" x14ac:dyDescent="0.35">
      <c r="A206" t="s">
        <v>106</v>
      </c>
      <c r="B206" t="s">
        <v>0</v>
      </c>
      <c r="C206">
        <v>6.01659751037344E-2</v>
      </c>
      <c r="D206">
        <v>14</v>
      </c>
      <c r="E206">
        <v>4.2975696502667426E-3</v>
      </c>
      <c r="F206">
        <v>4.8715114041754097E-2</v>
      </c>
      <c r="G206" s="2">
        <v>8.8218404796984853</v>
      </c>
    </row>
    <row r="207" spans="1:7" x14ac:dyDescent="0.35">
      <c r="A207" t="s">
        <v>106</v>
      </c>
      <c r="B207" t="s">
        <v>62</v>
      </c>
      <c r="C207">
        <v>1.03734439834025E-3</v>
      </c>
      <c r="D207">
        <v>31</v>
      </c>
      <c r="E207">
        <v>3.3462722527104843E-5</v>
      </c>
      <c r="F207">
        <v>4.8715114041754097E-2</v>
      </c>
      <c r="G207" s="2">
        <v>6.8690637772958307E-2</v>
      </c>
    </row>
    <row r="208" spans="1:7" x14ac:dyDescent="0.35">
      <c r="A208" t="s">
        <v>106</v>
      </c>
      <c r="B208" t="s">
        <v>21</v>
      </c>
      <c r="C208">
        <v>1.2038508168381299</v>
      </c>
      <c r="D208">
        <v>12</v>
      </c>
      <c r="E208">
        <v>0.1003209014031775</v>
      </c>
      <c r="F208">
        <v>0.11398165519604669</v>
      </c>
      <c r="G208" s="2">
        <v>88.014954012228458</v>
      </c>
    </row>
    <row r="209" spans="1:7" x14ac:dyDescent="0.35">
      <c r="A209" t="s">
        <v>106</v>
      </c>
      <c r="B209" t="s">
        <v>0</v>
      </c>
      <c r="C209">
        <v>0.18929633300297299</v>
      </c>
      <c r="D209">
        <v>14</v>
      </c>
      <c r="E209">
        <v>1.35211666430695E-2</v>
      </c>
      <c r="F209">
        <v>0.11398165519604669</v>
      </c>
      <c r="G209" s="2">
        <v>11.862581412608259</v>
      </c>
    </row>
    <row r="210" spans="1:7" x14ac:dyDescent="0.35">
      <c r="A210" t="s">
        <v>106</v>
      </c>
      <c r="B210" t="s">
        <v>62</v>
      </c>
      <c r="C210">
        <v>4.3272016437893301E-3</v>
      </c>
      <c r="D210">
        <v>31</v>
      </c>
      <c r="E210">
        <v>1.395871497996558E-4</v>
      </c>
      <c r="F210">
        <v>0.11398165519604669</v>
      </c>
      <c r="G210" s="2">
        <v>0.1224645751630539</v>
      </c>
    </row>
    <row r="211" spans="1:7" x14ac:dyDescent="0.35">
      <c r="A211" t="s">
        <v>106</v>
      </c>
      <c r="B211" t="s">
        <v>21</v>
      </c>
      <c r="C211">
        <v>0.65077087092012398</v>
      </c>
      <c r="D211">
        <v>12</v>
      </c>
      <c r="E211">
        <v>5.4230905910010327E-2</v>
      </c>
      <c r="F211">
        <v>6.3159146662998294E-2</v>
      </c>
      <c r="G211" s="2">
        <v>85.863899015882993</v>
      </c>
    </row>
    <row r="212" spans="1:7" x14ac:dyDescent="0.35">
      <c r="A212" t="s">
        <v>106</v>
      </c>
      <c r="B212" t="s">
        <v>0</v>
      </c>
      <c r="C212">
        <v>0.118254879448909</v>
      </c>
      <c r="D212">
        <v>14</v>
      </c>
      <c r="E212">
        <v>8.4467771034934993E-3</v>
      </c>
      <c r="F212">
        <v>6.3159146662998294E-2</v>
      </c>
      <c r="G212" s="2">
        <v>13.37379864956603</v>
      </c>
    </row>
    <row r="213" spans="1:7" x14ac:dyDescent="0.35">
      <c r="A213" t="s">
        <v>106</v>
      </c>
      <c r="B213" t="s">
        <v>62</v>
      </c>
      <c r="C213">
        <v>1.49253731343284E-2</v>
      </c>
      <c r="D213">
        <v>31</v>
      </c>
      <c r="E213">
        <v>4.8146364949446451E-4</v>
      </c>
      <c r="F213">
        <v>6.3159146662998294E-2</v>
      </c>
      <c r="G213" s="2">
        <v>0.76230233455090191</v>
      </c>
    </row>
    <row r="214" spans="1:7" x14ac:dyDescent="0.35">
      <c r="A214" t="s">
        <v>106</v>
      </c>
      <c r="B214" t="s">
        <v>21</v>
      </c>
      <c r="C214">
        <v>0.744285714285714</v>
      </c>
      <c r="D214">
        <v>12</v>
      </c>
      <c r="E214">
        <v>6.2023809523809502E-2</v>
      </c>
      <c r="F214">
        <v>6.5102150537634393E-2</v>
      </c>
      <c r="G214" s="2">
        <v>95.271521772471473</v>
      </c>
    </row>
    <row r="215" spans="1:7" x14ac:dyDescent="0.35">
      <c r="A215" t="s">
        <v>106</v>
      </c>
      <c r="B215" t="s">
        <v>0</v>
      </c>
      <c r="C215">
        <v>0.04</v>
      </c>
      <c r="D215">
        <v>14</v>
      </c>
      <c r="E215">
        <v>2.8571428571428571E-3</v>
      </c>
      <c r="F215">
        <v>6.5102150537634393E-2</v>
      </c>
      <c r="G215" s="2">
        <v>4.3887073369276699</v>
      </c>
    </row>
    <row r="216" spans="1:7" x14ac:dyDescent="0.35">
      <c r="A216" t="s">
        <v>106</v>
      </c>
      <c r="B216" t="s">
        <v>62</v>
      </c>
      <c r="C216">
        <v>6.8571428571428603E-3</v>
      </c>
      <c r="D216">
        <v>31</v>
      </c>
      <c r="E216">
        <v>2.2119815668202779E-4</v>
      </c>
      <c r="F216">
        <v>6.5102150537634393E-2</v>
      </c>
      <c r="G216" s="2">
        <v>0.33977089060085203</v>
      </c>
    </row>
    <row r="217" spans="1:7" x14ac:dyDescent="0.35">
      <c r="A217" t="s">
        <v>106</v>
      </c>
      <c r="B217" t="s">
        <v>21</v>
      </c>
      <c r="C217">
        <v>1.3369590214371401</v>
      </c>
      <c r="D217">
        <v>12</v>
      </c>
      <c r="E217">
        <v>0.1114132517864283</v>
      </c>
      <c r="F217">
        <v>0.1203824331893093</v>
      </c>
      <c r="G217" s="2">
        <v>92.549426718451286</v>
      </c>
    </row>
    <row r="218" spans="1:7" x14ac:dyDescent="0.35">
      <c r="A218" t="s">
        <v>106</v>
      </c>
      <c r="B218" t="s">
        <v>0</v>
      </c>
      <c r="C218">
        <v>0.11822125813449</v>
      </c>
      <c r="D218">
        <v>14</v>
      </c>
      <c r="E218">
        <v>8.4443755810350001E-3</v>
      </c>
      <c r="F218">
        <v>0.1203824331893093</v>
      </c>
      <c r="G218" s="2">
        <v>7.0146244408896994</v>
      </c>
    </row>
    <row r="219" spans="1:7" x14ac:dyDescent="0.35">
      <c r="A219" t="s">
        <v>106</v>
      </c>
      <c r="B219" t="s">
        <v>62</v>
      </c>
      <c r="C219">
        <v>1.6268980477223399E-2</v>
      </c>
      <c r="D219">
        <v>31</v>
      </c>
      <c r="E219">
        <v>5.2480582184591612E-4</v>
      </c>
      <c r="F219">
        <v>0.1203824331893093</v>
      </c>
      <c r="G219" s="2">
        <v>0.43594884065902262</v>
      </c>
    </row>
    <row r="220" spans="1:7" x14ac:dyDescent="0.35">
      <c r="A220" t="s">
        <v>106</v>
      </c>
      <c r="B220" t="s">
        <v>21</v>
      </c>
      <c r="C220">
        <v>1.8298718543319801</v>
      </c>
      <c r="D220">
        <v>12</v>
      </c>
      <c r="E220">
        <v>0.1524893211943317</v>
      </c>
      <c r="F220">
        <v>0.16388233416090869</v>
      </c>
      <c r="G220" s="2">
        <v>93.048053028466683</v>
      </c>
    </row>
    <row r="221" spans="1:7" x14ac:dyDescent="0.35">
      <c r="A221" t="s">
        <v>106</v>
      </c>
      <c r="B221" t="s">
        <v>0</v>
      </c>
      <c r="C221">
        <v>0.15299334811529899</v>
      </c>
      <c r="D221">
        <v>14</v>
      </c>
      <c r="E221">
        <v>1.092809629394993E-2</v>
      </c>
      <c r="F221">
        <v>0.16388233416090869</v>
      </c>
      <c r="G221" s="2">
        <v>6.6682576556543891</v>
      </c>
    </row>
    <row r="222" spans="1:7" x14ac:dyDescent="0.35">
      <c r="A222" t="s">
        <v>106</v>
      </c>
      <c r="B222" t="s">
        <v>62</v>
      </c>
      <c r="C222">
        <v>1.44124168514412E-2</v>
      </c>
      <c r="D222">
        <v>31</v>
      </c>
      <c r="E222">
        <v>4.6491667262713547E-4</v>
      </c>
      <c r="F222">
        <v>0.16388233416090869</v>
      </c>
      <c r="G222" s="2">
        <v>0.2836893158787045</v>
      </c>
    </row>
    <row r="223" spans="1:7" x14ac:dyDescent="0.35">
      <c r="A223" t="s">
        <v>106</v>
      </c>
      <c r="B223" t="s">
        <v>21</v>
      </c>
      <c r="C223">
        <v>1.5819085388931899</v>
      </c>
      <c r="D223">
        <v>12</v>
      </c>
      <c r="E223">
        <v>0.13182571157443251</v>
      </c>
      <c r="F223">
        <v>0.1447169406019661</v>
      </c>
      <c r="G223" s="2">
        <v>91.092107825171766</v>
      </c>
    </row>
    <row r="224" spans="1:7" x14ac:dyDescent="0.35">
      <c r="A224" t="s">
        <v>106</v>
      </c>
      <c r="B224" t="s">
        <v>0</v>
      </c>
      <c r="C224">
        <v>0.16979051819184099</v>
      </c>
      <c r="D224">
        <v>14</v>
      </c>
      <c r="E224">
        <v>1.2127894156560071E-2</v>
      </c>
      <c r="F224">
        <v>0.1447169406019661</v>
      </c>
      <c r="G224" s="2">
        <v>8.3804246455962783</v>
      </c>
    </row>
    <row r="225" spans="1:7" x14ac:dyDescent="0.35">
      <c r="A225" t="s">
        <v>106</v>
      </c>
      <c r="B225" t="s">
        <v>62</v>
      </c>
      <c r="C225">
        <v>2.3663381000180998E-2</v>
      </c>
      <c r="D225">
        <v>31</v>
      </c>
      <c r="E225">
        <v>7.6333487097358054E-4</v>
      </c>
      <c r="F225">
        <v>0.1447169406019661</v>
      </c>
      <c r="G225" s="2">
        <v>0.52746752923217299</v>
      </c>
    </row>
    <row r="226" spans="1:7" x14ac:dyDescent="0.35">
      <c r="A226" t="s">
        <v>106</v>
      </c>
      <c r="B226" t="s">
        <v>21</v>
      </c>
      <c r="C226">
        <v>1.5274718950235999</v>
      </c>
      <c r="D226">
        <v>12</v>
      </c>
      <c r="E226">
        <v>0.12728932458530001</v>
      </c>
      <c r="F226">
        <v>0.1304832426898008</v>
      </c>
      <c r="G226" s="2">
        <v>97.552238863274226</v>
      </c>
    </row>
    <row r="227" spans="1:7" x14ac:dyDescent="0.35">
      <c r="A227" t="s">
        <v>106</v>
      </c>
      <c r="B227" t="s">
        <v>0</v>
      </c>
      <c r="C227">
        <v>2.1850899742930599E-2</v>
      </c>
      <c r="D227">
        <v>14</v>
      </c>
      <c r="E227">
        <v>1.560778553066471E-3</v>
      </c>
      <c r="F227">
        <v>0.1304832426898008</v>
      </c>
      <c r="G227" s="2">
        <v>1.1961524873940561</v>
      </c>
    </row>
    <row r="228" spans="1:7" x14ac:dyDescent="0.35">
      <c r="A228" t="s">
        <v>106</v>
      </c>
      <c r="B228" t="s">
        <v>62</v>
      </c>
      <c r="C228">
        <v>5.0627326094463403E-2</v>
      </c>
      <c r="D228">
        <v>31</v>
      </c>
      <c r="E228">
        <v>1.633139551434303E-3</v>
      </c>
      <c r="F228">
        <v>0.1304832426898008</v>
      </c>
      <c r="G228" s="2">
        <v>1.2516086493319201</v>
      </c>
    </row>
    <row r="229" spans="1:7" x14ac:dyDescent="0.35">
      <c r="A229" t="s">
        <v>106</v>
      </c>
      <c r="B229" t="s">
        <v>21</v>
      </c>
      <c r="C229">
        <v>0.35700327525940601</v>
      </c>
      <c r="D229">
        <v>12</v>
      </c>
      <c r="E229">
        <v>2.975027293828383E-2</v>
      </c>
      <c r="F229">
        <v>3.3548201956154197E-2</v>
      </c>
      <c r="G229" s="2">
        <v>88.679187567685219</v>
      </c>
    </row>
    <row r="230" spans="1:7" x14ac:dyDescent="0.35">
      <c r="A230" t="s">
        <v>106</v>
      </c>
      <c r="B230" t="s">
        <v>0</v>
      </c>
      <c r="C230">
        <v>5.2341597796143197E-2</v>
      </c>
      <c r="D230">
        <v>14</v>
      </c>
      <c r="E230">
        <v>3.7386855568673711E-3</v>
      </c>
      <c r="F230">
        <v>3.3548201956154197E-2</v>
      </c>
      <c r="G230" s="2">
        <v>11.144220372089221</v>
      </c>
    </row>
    <row r="231" spans="1:7" x14ac:dyDescent="0.35">
      <c r="A231" t="s">
        <v>106</v>
      </c>
      <c r="B231" t="s">
        <v>62</v>
      </c>
      <c r="C231">
        <v>1.83654729109275E-3</v>
      </c>
      <c r="D231">
        <v>31</v>
      </c>
      <c r="E231">
        <v>5.9243461002991933E-5</v>
      </c>
      <c r="F231">
        <v>3.3548201956154197E-2</v>
      </c>
      <c r="G231" s="2">
        <v>0.17659206022552301</v>
      </c>
    </row>
    <row r="232" spans="1:7" x14ac:dyDescent="0.35">
      <c r="A232" t="s">
        <v>106</v>
      </c>
      <c r="B232" t="s">
        <v>21</v>
      </c>
      <c r="C232">
        <v>0.21088376467521899</v>
      </c>
      <c r="D232">
        <v>12</v>
      </c>
      <c r="E232">
        <v>1.7573647056268248E-2</v>
      </c>
      <c r="F232">
        <v>2.2055973686673891E-2</v>
      </c>
      <c r="G232" s="2">
        <v>79.677493752570683</v>
      </c>
    </row>
    <row r="233" spans="1:7" x14ac:dyDescent="0.35">
      <c r="A233" t="s">
        <v>106</v>
      </c>
      <c r="B233" t="s">
        <v>0</v>
      </c>
      <c r="C233">
        <v>3.9097266369993597E-2</v>
      </c>
      <c r="D233">
        <v>14</v>
      </c>
      <c r="E233">
        <v>2.7926618835709708E-3</v>
      </c>
      <c r="F233">
        <v>2.2055973686673891E-2</v>
      </c>
      <c r="G233" s="2">
        <v>12.66170300728224</v>
      </c>
    </row>
    <row r="234" spans="1:7" x14ac:dyDescent="0.35">
      <c r="A234" t="s">
        <v>106</v>
      </c>
      <c r="B234" t="s">
        <v>62</v>
      </c>
      <c r="C234">
        <v>5.2379607151874702E-2</v>
      </c>
      <c r="D234">
        <v>31</v>
      </c>
      <c r="E234">
        <v>1.6896647468346679E-3</v>
      </c>
      <c r="F234">
        <v>2.2055973686673891E-2</v>
      </c>
      <c r="G234" s="2">
        <v>7.6608032401469197</v>
      </c>
    </row>
    <row r="235" spans="1:7" x14ac:dyDescent="0.35">
      <c r="A235" t="s">
        <v>106</v>
      </c>
      <c r="B235" t="s">
        <v>21</v>
      </c>
      <c r="C235">
        <v>0.62044300586436896</v>
      </c>
      <c r="D235">
        <v>12</v>
      </c>
      <c r="E235">
        <v>5.1703583822030753E-2</v>
      </c>
      <c r="F235">
        <v>5.8511774388774217E-2</v>
      </c>
      <c r="G235" s="2">
        <v>88.364409321263622</v>
      </c>
    </row>
    <row r="236" spans="1:7" x14ac:dyDescent="0.35">
      <c r="A236" t="s">
        <v>106</v>
      </c>
      <c r="B236" t="s">
        <v>0</v>
      </c>
      <c r="C236">
        <v>6.6909421939007702E-2</v>
      </c>
      <c r="D236">
        <v>14</v>
      </c>
      <c r="E236">
        <v>4.7792444242148362E-3</v>
      </c>
      <c r="F236">
        <v>5.8511774388774217E-2</v>
      </c>
      <c r="G236" s="2">
        <v>8.1680046010222487</v>
      </c>
    </row>
    <row r="237" spans="1:7" x14ac:dyDescent="0.35">
      <c r="A237" t="s">
        <v>106</v>
      </c>
      <c r="B237" t="s">
        <v>62</v>
      </c>
      <c r="C237">
        <v>6.2897330418387604E-2</v>
      </c>
      <c r="D237">
        <v>31</v>
      </c>
      <c r="E237">
        <v>2.0289461425286319E-3</v>
      </c>
      <c r="F237">
        <v>5.8511774388774217E-2</v>
      </c>
      <c r="G237" s="2">
        <v>3.4675860777141221</v>
      </c>
    </row>
    <row r="238" spans="1:7" x14ac:dyDescent="0.35">
      <c r="A238" t="s">
        <v>106</v>
      </c>
      <c r="B238" t="s">
        <v>21</v>
      </c>
      <c r="C238">
        <v>2.1459977334349301</v>
      </c>
      <c r="D238">
        <v>12</v>
      </c>
      <c r="E238">
        <v>0.17883314445291079</v>
      </c>
      <c r="F238">
        <v>0.20267352438569811</v>
      </c>
      <c r="G238" s="2">
        <v>88.237052666327671</v>
      </c>
    </row>
    <row r="239" spans="1:7" x14ac:dyDescent="0.35">
      <c r="A239" t="s">
        <v>106</v>
      </c>
      <c r="B239" t="s">
        <v>0</v>
      </c>
      <c r="C239">
        <v>0.31877729257641901</v>
      </c>
      <c r="D239">
        <v>14</v>
      </c>
      <c r="E239">
        <v>2.2769806612601359E-2</v>
      </c>
      <c r="F239">
        <v>0.20267352438569811</v>
      </c>
      <c r="G239" s="2">
        <v>11.2347217929014</v>
      </c>
    </row>
    <row r="240" spans="1:7" x14ac:dyDescent="0.35">
      <c r="A240" t="s">
        <v>106</v>
      </c>
      <c r="B240" t="s">
        <v>62</v>
      </c>
      <c r="C240">
        <v>3.3187772925764199E-2</v>
      </c>
      <c r="D240">
        <v>31</v>
      </c>
      <c r="E240">
        <v>1.070573320185942E-3</v>
      </c>
      <c r="F240">
        <v>0.20267352438569811</v>
      </c>
      <c r="G240" s="2">
        <v>0.52822554077097217</v>
      </c>
    </row>
    <row r="241" spans="1:7" x14ac:dyDescent="0.35">
      <c r="A241" t="s">
        <v>106</v>
      </c>
      <c r="B241" t="s">
        <v>21</v>
      </c>
      <c r="C241">
        <v>2.7208098991128602</v>
      </c>
      <c r="D241">
        <v>12</v>
      </c>
      <c r="E241">
        <v>0.22673415825940499</v>
      </c>
      <c r="F241">
        <v>0.25361655360089669</v>
      </c>
      <c r="G241" s="2">
        <v>89.400378264032781</v>
      </c>
    </row>
    <row r="242" spans="1:7" x14ac:dyDescent="0.35">
      <c r="A242" t="s">
        <v>106</v>
      </c>
      <c r="B242" t="s">
        <v>0</v>
      </c>
      <c r="C242">
        <v>0.36643233743409498</v>
      </c>
      <c r="D242">
        <v>14</v>
      </c>
      <c r="E242">
        <v>2.6173738388149639E-2</v>
      </c>
      <c r="F242">
        <v>0.25361655360089669</v>
      </c>
      <c r="G242" s="2">
        <v>10.320201113267199</v>
      </c>
    </row>
    <row r="243" spans="1:7" x14ac:dyDescent="0.35">
      <c r="A243" t="s">
        <v>106</v>
      </c>
      <c r="B243" t="s">
        <v>62</v>
      </c>
      <c r="C243">
        <v>2.1968365553602799E-2</v>
      </c>
      <c r="D243">
        <v>31</v>
      </c>
      <c r="E243">
        <v>7.0865695334202576E-4</v>
      </c>
      <c r="F243">
        <v>0.25361655360089669</v>
      </c>
      <c r="G243" s="2">
        <v>0.27942062270004792</v>
      </c>
    </row>
    <row r="244" spans="1:7" x14ac:dyDescent="0.35">
      <c r="A244" t="s">
        <v>106</v>
      </c>
      <c r="B244" t="s">
        <v>21</v>
      </c>
      <c r="C244">
        <v>0.77038026496687895</v>
      </c>
      <c r="D244">
        <v>12</v>
      </c>
      <c r="E244">
        <v>6.4198355413906574E-2</v>
      </c>
      <c r="F244">
        <v>6.9302110625668698E-2</v>
      </c>
      <c r="G244" s="2">
        <v>92.635498160611888</v>
      </c>
    </row>
    <row r="245" spans="1:7" x14ac:dyDescent="0.35">
      <c r="A245" t="s">
        <v>106</v>
      </c>
      <c r="B245" t="s">
        <v>0</v>
      </c>
      <c r="C245">
        <v>6.4732142857142905E-2</v>
      </c>
      <c r="D245">
        <v>14</v>
      </c>
      <c r="E245">
        <v>4.6237244897959218E-3</v>
      </c>
      <c r="F245">
        <v>6.9302110625668698E-2</v>
      </c>
      <c r="G245" s="2">
        <v>6.671837910926981</v>
      </c>
    </row>
    <row r="246" spans="1:7" x14ac:dyDescent="0.35">
      <c r="A246" t="s">
        <v>106</v>
      </c>
      <c r="B246" t="s">
        <v>62</v>
      </c>
      <c r="C246">
        <v>1.4880952380952399E-2</v>
      </c>
      <c r="D246">
        <v>31</v>
      </c>
      <c r="E246">
        <v>4.8003072196620638E-4</v>
      </c>
      <c r="F246">
        <v>6.9302110625668698E-2</v>
      </c>
      <c r="G246" s="2">
        <v>0.69266392846108849</v>
      </c>
    </row>
    <row r="247" spans="1:7" x14ac:dyDescent="0.35">
      <c r="A247" t="s">
        <v>106</v>
      </c>
      <c r="B247" t="s">
        <v>21</v>
      </c>
      <c r="C247">
        <v>0.61562230217911496</v>
      </c>
      <c r="D247">
        <v>12</v>
      </c>
      <c r="E247">
        <v>5.1301858514926253E-2</v>
      </c>
      <c r="F247">
        <v>5.2301339700265147E-2</v>
      </c>
      <c r="G247" s="2">
        <v>98.088995060036979</v>
      </c>
    </row>
    <row r="248" spans="1:7" x14ac:dyDescent="0.35">
      <c r="A248" t="s">
        <v>106</v>
      </c>
      <c r="B248" t="s">
        <v>0</v>
      </c>
      <c r="C248">
        <v>8.6092715231788092E-3</v>
      </c>
      <c r="D248">
        <v>14</v>
      </c>
      <c r="E248">
        <v>6.1494796594134353E-4</v>
      </c>
      <c r="F248">
        <v>5.2301339700265147E-2</v>
      </c>
      <c r="G248" s="2">
        <v>1.1757786119161799</v>
      </c>
    </row>
    <row r="249" spans="1:7" x14ac:dyDescent="0.35">
      <c r="A249" t="s">
        <v>106</v>
      </c>
      <c r="B249" t="s">
        <v>62</v>
      </c>
      <c r="C249">
        <v>1.1920529801324501E-2</v>
      </c>
      <c r="D249">
        <v>31</v>
      </c>
      <c r="E249">
        <v>3.8453321939756451E-4</v>
      </c>
      <c r="F249">
        <v>5.2301339700265147E-2</v>
      </c>
      <c r="G249" s="2">
        <v>0.73522632804684163</v>
      </c>
    </row>
    <row r="250" spans="1:7" x14ac:dyDescent="0.35">
      <c r="A250" t="s">
        <v>106</v>
      </c>
      <c r="B250" t="s">
        <v>21</v>
      </c>
      <c r="C250">
        <v>0.40786671115825901</v>
      </c>
      <c r="D250">
        <v>12</v>
      </c>
      <c r="E250">
        <v>3.3988892596521582E-2</v>
      </c>
      <c r="F250">
        <v>3.5450663569218673E-2</v>
      </c>
      <c r="G250" s="2">
        <v>95.876604764131088</v>
      </c>
    </row>
    <row r="251" spans="1:7" x14ac:dyDescent="0.35">
      <c r="A251" t="s">
        <v>106</v>
      </c>
      <c r="B251" t="s">
        <v>0</v>
      </c>
      <c r="C251">
        <v>1.9607843137254902E-2</v>
      </c>
      <c r="D251">
        <v>14</v>
      </c>
      <c r="E251">
        <v>1.4005602240896361E-3</v>
      </c>
      <c r="F251">
        <v>3.5450663569218673E-2</v>
      </c>
      <c r="G251" s="2">
        <v>3.9507306297807179</v>
      </c>
    </row>
    <row r="252" spans="1:7" x14ac:dyDescent="0.35">
      <c r="A252" t="s">
        <v>106</v>
      </c>
      <c r="B252" t="s">
        <v>62</v>
      </c>
      <c r="C252">
        <v>1.89753320683112E-3</v>
      </c>
      <c r="D252">
        <v>31</v>
      </c>
      <c r="E252">
        <v>6.121074860745549E-5</v>
      </c>
      <c r="F252">
        <v>3.5450663569218673E-2</v>
      </c>
      <c r="G252" s="2">
        <v>0.1726646060882312</v>
      </c>
    </row>
    <row r="253" spans="1:7" x14ac:dyDescent="0.35">
      <c r="A253" t="s">
        <v>106</v>
      </c>
      <c r="B253" t="s">
        <v>21</v>
      </c>
      <c r="C253">
        <v>0.52341754031031196</v>
      </c>
      <c r="D253">
        <v>12</v>
      </c>
      <c r="E253">
        <v>4.3618128359192661E-2</v>
      </c>
      <c r="F253">
        <v>4.482012090815251E-2</v>
      </c>
      <c r="G253" s="2">
        <v>97.31818539395951</v>
      </c>
    </row>
    <row r="254" spans="1:7" x14ac:dyDescent="0.35">
      <c r="A254" t="s">
        <v>106</v>
      </c>
      <c r="B254" t="s">
        <v>0</v>
      </c>
      <c r="C254">
        <v>1.4253135689851801E-2</v>
      </c>
      <c r="D254">
        <v>14</v>
      </c>
      <c r="E254">
        <v>1.0180811207037E-3</v>
      </c>
      <c r="F254">
        <v>4.482012090815251E-2</v>
      </c>
      <c r="G254" s="2">
        <v>2.2714823165916931</v>
      </c>
    </row>
    <row r="255" spans="1:7" x14ac:dyDescent="0.35">
      <c r="A255" t="s">
        <v>106</v>
      </c>
      <c r="B255" t="s">
        <v>62</v>
      </c>
      <c r="C255">
        <v>5.7012542759407097E-3</v>
      </c>
      <c r="D255">
        <v>31</v>
      </c>
      <c r="E255">
        <v>1.839114282561519E-4</v>
      </c>
      <c r="F255">
        <v>4.482012090815251E-2</v>
      </c>
      <c r="G255" s="2">
        <v>0.41033228944882111</v>
      </c>
    </row>
    <row r="256" spans="1:7" x14ac:dyDescent="0.35">
      <c r="A256" t="s">
        <v>106</v>
      </c>
      <c r="B256" t="s">
        <v>21</v>
      </c>
      <c r="C256">
        <v>1.77676498480061</v>
      </c>
      <c r="D256">
        <v>12</v>
      </c>
      <c r="E256">
        <v>0.14806374873338421</v>
      </c>
      <c r="F256">
        <v>0.1664424726153384</v>
      </c>
      <c r="G256" s="2">
        <v>88.957912248498701</v>
      </c>
    </row>
    <row r="257" spans="1:7" x14ac:dyDescent="0.35">
      <c r="A257" t="s">
        <v>106</v>
      </c>
      <c r="B257" t="s">
        <v>0</v>
      </c>
      <c r="C257">
        <v>0.25062240663900398</v>
      </c>
      <c r="D257">
        <v>14</v>
      </c>
      <c r="E257">
        <v>1.7901600474214571E-2</v>
      </c>
      <c r="F257">
        <v>0.1664424726153384</v>
      </c>
      <c r="G257" s="2">
        <v>10.7554281025292</v>
      </c>
    </row>
    <row r="258" spans="1:7" x14ac:dyDescent="0.35">
      <c r="A258" t="s">
        <v>106</v>
      </c>
      <c r="B258" t="s">
        <v>62</v>
      </c>
      <c r="C258">
        <v>1.479082563993E-2</v>
      </c>
      <c r="D258">
        <v>31</v>
      </c>
      <c r="E258">
        <v>4.771234077396774E-4</v>
      </c>
      <c r="F258">
        <v>0.1664424726153384</v>
      </c>
      <c r="G258" s="2">
        <v>0.28665964897213903</v>
      </c>
    </row>
    <row r="259" spans="1:7" x14ac:dyDescent="0.35">
      <c r="A259" t="s">
        <v>106</v>
      </c>
      <c r="B259" t="s">
        <v>21</v>
      </c>
      <c r="C259">
        <v>1.15191925458017</v>
      </c>
      <c r="D259">
        <v>12</v>
      </c>
      <c r="E259">
        <v>9.5993271215014164E-2</v>
      </c>
      <c r="F259">
        <v>0.1047272661670464</v>
      </c>
      <c r="G259" s="2">
        <v>91.660247353252672</v>
      </c>
    </row>
    <row r="260" spans="1:7" x14ac:dyDescent="0.35">
      <c r="A260" t="s">
        <v>106</v>
      </c>
      <c r="B260" t="s">
        <v>0</v>
      </c>
      <c r="C260">
        <v>0.11812179016874499</v>
      </c>
      <c r="D260">
        <v>14</v>
      </c>
      <c r="E260">
        <v>8.4372707263389284E-3</v>
      </c>
      <c r="F260">
        <v>0.1047272661670464</v>
      </c>
      <c r="G260" s="2">
        <v>8.0564222051599739</v>
      </c>
    </row>
    <row r="261" spans="1:7" x14ac:dyDescent="0.35">
      <c r="A261" t="s">
        <v>106</v>
      </c>
      <c r="B261" t="s">
        <v>62</v>
      </c>
      <c r="C261">
        <v>9.1984509964933292E-3</v>
      </c>
      <c r="D261">
        <v>31</v>
      </c>
      <c r="E261">
        <v>2.9672422569333322E-4</v>
      </c>
      <c r="F261">
        <v>0.1047272661670464</v>
      </c>
      <c r="G261" s="2">
        <v>0.28333044158723619</v>
      </c>
    </row>
    <row r="262" spans="1:7" x14ac:dyDescent="0.35">
      <c r="A262" t="s">
        <v>106</v>
      </c>
      <c r="B262" t="s">
        <v>21</v>
      </c>
      <c r="C262">
        <v>3.6150094224587099</v>
      </c>
      <c r="D262">
        <v>12</v>
      </c>
      <c r="E262">
        <v>0.30125078520489251</v>
      </c>
      <c r="F262">
        <v>0.33401558677474041</v>
      </c>
      <c r="G262" s="2">
        <v>90.190636944154292</v>
      </c>
    </row>
    <row r="263" spans="1:7" x14ac:dyDescent="0.35">
      <c r="A263" t="s">
        <v>106</v>
      </c>
      <c r="B263" t="s">
        <v>0</v>
      </c>
      <c r="C263">
        <v>0.44123711340206201</v>
      </c>
      <c r="D263">
        <v>14</v>
      </c>
      <c r="E263">
        <v>3.151693667157586E-2</v>
      </c>
      <c r="F263">
        <v>0.33401558677474041</v>
      </c>
      <c r="G263" s="2">
        <v>9.4357682453995348</v>
      </c>
    </row>
    <row r="264" spans="1:7" x14ac:dyDescent="0.35">
      <c r="A264" t="s">
        <v>106</v>
      </c>
      <c r="B264" t="s">
        <v>62</v>
      </c>
      <c r="C264">
        <v>3.8683811846432402E-2</v>
      </c>
      <c r="D264">
        <v>31</v>
      </c>
      <c r="E264">
        <v>1.247864898272013E-3</v>
      </c>
      <c r="F264">
        <v>0.33401558677474041</v>
      </c>
      <c r="G264" s="2">
        <v>0.37359481044624793</v>
      </c>
    </row>
    <row r="265" spans="1:7" x14ac:dyDescent="0.35">
      <c r="A265" t="s">
        <v>106</v>
      </c>
      <c r="B265" t="s">
        <v>21</v>
      </c>
      <c r="C265">
        <v>2.4979052494557998</v>
      </c>
      <c r="D265">
        <v>12</v>
      </c>
      <c r="E265">
        <v>0.20815877078798331</v>
      </c>
      <c r="F265">
        <v>0.2300884270999537</v>
      </c>
      <c r="G265" s="2">
        <v>90.469031151034798</v>
      </c>
    </row>
    <row r="266" spans="1:7" x14ac:dyDescent="0.35">
      <c r="A266" t="s">
        <v>106</v>
      </c>
      <c r="B266" t="s">
        <v>0</v>
      </c>
      <c r="C266">
        <v>0.26958290946083402</v>
      </c>
      <c r="D266">
        <v>14</v>
      </c>
      <c r="E266">
        <v>1.9255922104345291E-2</v>
      </c>
      <c r="F266">
        <v>0.2300884270999537</v>
      </c>
      <c r="G266" s="2">
        <v>8.3689224821291077</v>
      </c>
    </row>
    <row r="267" spans="1:7" x14ac:dyDescent="0.35">
      <c r="A267" t="s">
        <v>106</v>
      </c>
      <c r="B267" t="s">
        <v>62</v>
      </c>
      <c r="C267">
        <v>8.2885760436379005E-2</v>
      </c>
      <c r="D267">
        <v>31</v>
      </c>
      <c r="E267">
        <v>2.673734207625129E-3</v>
      </c>
      <c r="F267">
        <v>0.2300884270999537</v>
      </c>
      <c r="G267" s="2">
        <v>1.162046366836007</v>
      </c>
    </row>
    <row r="268" spans="1:7" x14ac:dyDescent="0.35">
      <c r="A268" t="s">
        <v>106</v>
      </c>
      <c r="B268" t="s">
        <v>21</v>
      </c>
      <c r="C268">
        <v>4.4174757281553401</v>
      </c>
      <c r="D268">
        <v>12</v>
      </c>
      <c r="E268">
        <v>0.36812297734627841</v>
      </c>
      <c r="F268">
        <v>0.39566409087907012</v>
      </c>
      <c r="G268" s="2">
        <v>93.039268872845639</v>
      </c>
    </row>
    <row r="269" spans="1:7" x14ac:dyDescent="0.35">
      <c r="A269" t="s">
        <v>106</v>
      </c>
      <c r="B269" t="s">
        <v>0</v>
      </c>
      <c r="C269">
        <v>0.36615811373092899</v>
      </c>
      <c r="D269">
        <v>14</v>
      </c>
      <c r="E269">
        <v>2.6154150980780638E-2</v>
      </c>
      <c r="F269">
        <v>0.39566409087907012</v>
      </c>
      <c r="G269" s="2">
        <v>6.6101907106789577</v>
      </c>
    </row>
    <row r="270" spans="1:7" x14ac:dyDescent="0.35">
      <c r="A270" t="s">
        <v>106</v>
      </c>
      <c r="B270" t="s">
        <v>62</v>
      </c>
      <c r="C270">
        <v>4.2995839112344003E-2</v>
      </c>
      <c r="D270">
        <v>31</v>
      </c>
      <c r="E270">
        <v>1.386962552011097E-3</v>
      </c>
      <c r="F270">
        <v>0.39566409087907012</v>
      </c>
      <c r="G270" s="2">
        <v>0.35054041647539991</v>
      </c>
    </row>
    <row r="271" spans="1:7" x14ac:dyDescent="0.35">
      <c r="A271" t="s">
        <v>106</v>
      </c>
      <c r="B271" t="s">
        <v>21</v>
      </c>
      <c r="C271">
        <v>5.4951298701298699</v>
      </c>
      <c r="D271">
        <v>12</v>
      </c>
      <c r="E271">
        <v>0.45792748917748921</v>
      </c>
      <c r="F271">
        <v>0.50163148103816302</v>
      </c>
      <c r="G271" s="2">
        <v>91.287629761548203</v>
      </c>
    </row>
    <row r="272" spans="1:7" x14ac:dyDescent="0.35">
      <c r="A272" t="s">
        <v>106</v>
      </c>
      <c r="B272" t="s">
        <v>0</v>
      </c>
      <c r="C272">
        <v>0.587662337662338</v>
      </c>
      <c r="D272">
        <v>14</v>
      </c>
      <c r="E272">
        <v>4.1975881261595571E-2</v>
      </c>
      <c r="F272">
        <v>0.50163148103816302</v>
      </c>
      <c r="G272" s="2">
        <v>8.3678722026622836</v>
      </c>
    </row>
    <row r="273" spans="1:7" x14ac:dyDescent="0.35">
      <c r="A273" t="s">
        <v>106</v>
      </c>
      <c r="B273" t="s">
        <v>62</v>
      </c>
      <c r="C273">
        <v>5.3571428571428603E-2</v>
      </c>
      <c r="D273">
        <v>31</v>
      </c>
      <c r="E273">
        <v>1.728110599078342E-3</v>
      </c>
      <c r="F273">
        <v>0.50163148103816302</v>
      </c>
      <c r="G273" s="2">
        <v>0.34449803578951838</v>
      </c>
    </row>
    <row r="274" spans="1:7" x14ac:dyDescent="0.35">
      <c r="A274" t="s">
        <v>127</v>
      </c>
      <c r="B274" t="s">
        <v>21</v>
      </c>
      <c r="C274">
        <v>2.5976879999999999E-3</v>
      </c>
      <c r="D274">
        <v>12</v>
      </c>
      <c r="E274">
        <v>2.16474E-4</v>
      </c>
      <c r="F274">
        <v>1.6681926994623658E-3</v>
      </c>
      <c r="G274" s="2">
        <v>12.976558407776656</v>
      </c>
    </row>
    <row r="275" spans="1:7" x14ac:dyDescent="0.35">
      <c r="A275" t="s">
        <v>127</v>
      </c>
      <c r="B275" t="s">
        <v>0</v>
      </c>
      <c r="C275">
        <v>0</v>
      </c>
      <c r="D275">
        <v>14</v>
      </c>
      <c r="E275">
        <v>0</v>
      </c>
      <c r="F275">
        <v>1.6681926994623658E-3</v>
      </c>
      <c r="G275" s="2">
        <v>0</v>
      </c>
    </row>
    <row r="276" spans="1:7" x14ac:dyDescent="0.35">
      <c r="A276" t="s">
        <v>127</v>
      </c>
      <c r="B276" t="s">
        <v>62</v>
      </c>
      <c r="C276">
        <v>1.2610340000000001E-3</v>
      </c>
      <c r="D276">
        <v>31</v>
      </c>
      <c r="E276">
        <v>4.067851612903226E-5</v>
      </c>
      <c r="F276">
        <v>1.6681926994623658E-3</v>
      </c>
      <c r="G276" s="2">
        <v>2.4384782490741239</v>
      </c>
    </row>
    <row r="277" spans="1:7" x14ac:dyDescent="0.35">
      <c r="A277" t="s">
        <v>127</v>
      </c>
      <c r="B277" t="s">
        <v>64</v>
      </c>
      <c r="C277">
        <v>1.7467249000000001E-2</v>
      </c>
      <c r="D277">
        <v>40</v>
      </c>
      <c r="E277">
        <v>4.3668122500000004E-4</v>
      </c>
      <c r="F277">
        <v>1.6681926994623658E-3</v>
      </c>
      <c r="G277" s="2">
        <v>26.176905410312372</v>
      </c>
    </row>
    <row r="278" spans="1:7" x14ac:dyDescent="0.35">
      <c r="A278" t="s">
        <v>127</v>
      </c>
      <c r="B278" t="s">
        <v>92</v>
      </c>
      <c r="C278">
        <v>2.3384615000000001E-2</v>
      </c>
      <c r="D278">
        <v>24</v>
      </c>
      <c r="E278">
        <v>9.7435895833333341E-4</v>
      </c>
      <c r="F278">
        <v>1.6681926994623658E-3</v>
      </c>
      <c r="G278" s="2">
        <v>58.40805793283684</v>
      </c>
    </row>
    <row r="279" spans="1:7" x14ac:dyDescent="0.35">
      <c r="A279" t="s">
        <v>127</v>
      </c>
      <c r="B279" t="s">
        <v>21</v>
      </c>
      <c r="C279">
        <v>7.4330647E-2</v>
      </c>
      <c r="D279">
        <v>12</v>
      </c>
      <c r="E279">
        <v>6.1942205833333333E-3</v>
      </c>
      <c r="F279">
        <v>7.7070391094086026E-3</v>
      </c>
      <c r="G279" s="2">
        <v>80.370950444140732</v>
      </c>
    </row>
    <row r="280" spans="1:7" x14ac:dyDescent="0.35">
      <c r="A280" t="s">
        <v>127</v>
      </c>
      <c r="B280" t="s">
        <v>0</v>
      </c>
      <c r="C280">
        <v>0</v>
      </c>
      <c r="D280">
        <v>14</v>
      </c>
      <c r="E280">
        <v>0</v>
      </c>
      <c r="F280">
        <v>7.7070391094086026E-3</v>
      </c>
      <c r="G280" s="2">
        <v>0</v>
      </c>
    </row>
    <row r="281" spans="1:7" x14ac:dyDescent="0.35">
      <c r="A281" t="s">
        <v>127</v>
      </c>
      <c r="B281" t="s">
        <v>62</v>
      </c>
      <c r="C281">
        <v>2.0717909999999999E-3</v>
      </c>
      <c r="D281">
        <v>31</v>
      </c>
      <c r="E281">
        <v>6.6831967741935481E-5</v>
      </c>
      <c r="F281">
        <v>7.7070391094086026E-3</v>
      </c>
      <c r="G281" s="2">
        <v>0.86715490596574651</v>
      </c>
    </row>
    <row r="282" spans="1:7" x14ac:dyDescent="0.35">
      <c r="A282" t="s">
        <v>127</v>
      </c>
      <c r="B282" t="s">
        <v>64</v>
      </c>
      <c r="C282">
        <v>1.7808219E-2</v>
      </c>
      <c r="D282">
        <v>40</v>
      </c>
      <c r="E282">
        <v>4.45205475E-4</v>
      </c>
      <c r="F282">
        <v>7.7070391094086026E-3</v>
      </c>
      <c r="G282" s="2">
        <v>5.7766084832306337</v>
      </c>
    </row>
    <row r="283" spans="1:7" x14ac:dyDescent="0.35">
      <c r="A283" t="s">
        <v>127</v>
      </c>
      <c r="B283" t="s">
        <v>92</v>
      </c>
      <c r="C283">
        <v>2.4018746000000001E-2</v>
      </c>
      <c r="D283">
        <v>24</v>
      </c>
      <c r="E283">
        <v>1.0007810833333334E-3</v>
      </c>
      <c r="F283">
        <v>7.7070391094086026E-3</v>
      </c>
      <c r="G283" s="2">
        <v>12.985286166662883</v>
      </c>
    </row>
    <row r="284" spans="1:7" x14ac:dyDescent="0.35">
      <c r="A284" t="s">
        <v>127</v>
      </c>
      <c r="B284" t="s">
        <v>64</v>
      </c>
      <c r="C284">
        <v>2.2447502000000001E-2</v>
      </c>
      <c r="D284">
        <v>40</v>
      </c>
      <c r="E284">
        <v>5.6118755000000007E-4</v>
      </c>
      <c r="F284">
        <v>1.0362284055184332E-2</v>
      </c>
      <c r="G284" s="2">
        <v>5.4156742568665015</v>
      </c>
    </row>
    <row r="285" spans="1:7" x14ac:dyDescent="0.35">
      <c r="A285" t="s">
        <v>127</v>
      </c>
      <c r="B285" t="s">
        <v>92</v>
      </c>
      <c r="C285">
        <v>2.5990902999999999E-2</v>
      </c>
      <c r="D285">
        <v>24</v>
      </c>
      <c r="E285">
        <v>1.0829542916666666E-3</v>
      </c>
      <c r="F285">
        <v>1.0362284055184332E-2</v>
      </c>
      <c r="G285" s="2">
        <v>10.450922652760672</v>
      </c>
    </row>
    <row r="286" spans="1:7" x14ac:dyDescent="0.35">
      <c r="A286" t="s">
        <v>127</v>
      </c>
      <c r="B286" t="s">
        <v>21</v>
      </c>
      <c r="C286">
        <v>0.172360387</v>
      </c>
      <c r="D286">
        <v>12</v>
      </c>
      <c r="E286">
        <v>1.4363365583333334E-2</v>
      </c>
      <c r="F286">
        <v>1.6203075540591399E-2</v>
      </c>
      <c r="G286" s="2">
        <v>88.645921247177512</v>
      </c>
    </row>
    <row r="287" spans="1:7" x14ac:dyDescent="0.35">
      <c r="A287" t="s">
        <v>127</v>
      </c>
      <c r="B287" t="s">
        <v>0</v>
      </c>
      <c r="C287">
        <v>0</v>
      </c>
      <c r="D287">
        <v>14</v>
      </c>
      <c r="E287">
        <v>0</v>
      </c>
      <c r="F287">
        <v>1.6203075540591399E-2</v>
      </c>
      <c r="G287" s="2">
        <v>0</v>
      </c>
    </row>
    <row r="288" spans="1:7" x14ac:dyDescent="0.35">
      <c r="A288" t="s">
        <v>127</v>
      </c>
      <c r="B288" t="s">
        <v>62</v>
      </c>
      <c r="C288">
        <v>5.1294779999999998E-3</v>
      </c>
      <c r="D288">
        <v>31</v>
      </c>
      <c r="E288">
        <v>1.654670322580645E-4</v>
      </c>
      <c r="F288">
        <v>1.6203075540591399E-2</v>
      </c>
      <c r="G288" s="2">
        <v>1.0212075592904697</v>
      </c>
    </row>
    <row r="289" spans="1:7" x14ac:dyDescent="0.35">
      <c r="A289" t="s">
        <v>127</v>
      </c>
      <c r="B289" t="s">
        <v>64</v>
      </c>
      <c r="C289">
        <v>2.3170731999999999E-2</v>
      </c>
      <c r="D289">
        <v>40</v>
      </c>
      <c r="E289">
        <v>5.7926829999999996E-4</v>
      </c>
      <c r="F289">
        <v>1.6203075540591399E-2</v>
      </c>
      <c r="G289" s="2">
        <v>3.5750515298705889</v>
      </c>
    </row>
    <row r="290" spans="1:7" x14ac:dyDescent="0.35">
      <c r="A290" t="s">
        <v>127</v>
      </c>
      <c r="B290" t="s">
        <v>92</v>
      </c>
      <c r="C290">
        <v>2.6279390999999999E-2</v>
      </c>
      <c r="D290">
        <v>24</v>
      </c>
      <c r="E290">
        <v>1.094974625E-3</v>
      </c>
      <c r="F290">
        <v>1.6203075540591399E-2</v>
      </c>
      <c r="G290" s="2">
        <v>6.7578196636614223</v>
      </c>
    </row>
    <row r="291" spans="1:7" x14ac:dyDescent="0.35">
      <c r="A291" t="s">
        <v>127</v>
      </c>
      <c r="B291" t="s">
        <v>21</v>
      </c>
      <c r="C291">
        <v>0.19660291299999999</v>
      </c>
      <c r="D291">
        <v>12</v>
      </c>
      <c r="E291">
        <v>1.6383576083333334E-2</v>
      </c>
      <c r="F291">
        <v>1.8628931442473122E-2</v>
      </c>
      <c r="G291" s="2">
        <v>87.946944965289418</v>
      </c>
    </row>
    <row r="292" spans="1:7" x14ac:dyDescent="0.35">
      <c r="A292" t="s">
        <v>127</v>
      </c>
      <c r="B292" t="s">
        <v>0</v>
      </c>
      <c r="C292">
        <v>2.8208740000000001E-3</v>
      </c>
      <c r="D292">
        <v>14</v>
      </c>
      <c r="E292">
        <v>2.0149100000000001E-4</v>
      </c>
      <c r="F292">
        <v>1.8628931442473122E-2</v>
      </c>
      <c r="G292" s="2">
        <v>1.0816025633150899</v>
      </c>
    </row>
    <row r="293" spans="1:7" x14ac:dyDescent="0.35">
      <c r="A293" t="s">
        <v>127</v>
      </c>
      <c r="B293" t="s">
        <v>62</v>
      </c>
      <c r="C293">
        <v>1.0989011E-2</v>
      </c>
      <c r="D293">
        <v>31</v>
      </c>
      <c r="E293">
        <v>3.5448422580645162E-4</v>
      </c>
      <c r="F293">
        <v>1.8628931442473122E-2</v>
      </c>
      <c r="G293" s="2">
        <v>1.9028693454646763</v>
      </c>
    </row>
    <row r="294" spans="1:7" x14ac:dyDescent="0.35">
      <c r="A294" t="s">
        <v>127</v>
      </c>
      <c r="B294" t="s">
        <v>64</v>
      </c>
      <c r="C294">
        <v>2.3634881999999999E-2</v>
      </c>
      <c r="D294">
        <v>40</v>
      </c>
      <c r="E294">
        <v>5.9087205000000001E-4</v>
      </c>
      <c r="F294">
        <v>1.8628931442473122E-2</v>
      </c>
      <c r="G294" s="2">
        <v>3.1717978662632174</v>
      </c>
    </row>
    <row r="295" spans="1:7" x14ac:dyDescent="0.35">
      <c r="A295" t="s">
        <v>127</v>
      </c>
      <c r="B295" t="s">
        <v>92</v>
      </c>
      <c r="C295">
        <v>2.6364194000000001E-2</v>
      </c>
      <c r="D295">
        <v>24</v>
      </c>
      <c r="E295">
        <v>1.0985080833333333E-3</v>
      </c>
      <c r="F295">
        <v>1.8628931442473122E-2</v>
      </c>
      <c r="G295" s="2">
        <v>5.8967852596675749</v>
      </c>
    </row>
    <row r="296" spans="1:7" x14ac:dyDescent="0.35">
      <c r="A296" t="s">
        <v>127</v>
      </c>
      <c r="B296" t="s">
        <v>21</v>
      </c>
      <c r="C296">
        <v>0.197958676</v>
      </c>
      <c r="D296">
        <v>12</v>
      </c>
      <c r="E296">
        <v>1.6496556333333332E-2</v>
      </c>
      <c r="F296">
        <v>1.9254307188863284E-2</v>
      </c>
      <c r="G296" s="2">
        <v>85.677226251355137</v>
      </c>
    </row>
    <row r="297" spans="1:7" x14ac:dyDescent="0.35">
      <c r="A297" t="s">
        <v>127</v>
      </c>
      <c r="B297" t="s">
        <v>0</v>
      </c>
      <c r="C297">
        <v>3.579952E-3</v>
      </c>
      <c r="D297">
        <v>14</v>
      </c>
      <c r="E297">
        <v>2.5571085714285716E-4</v>
      </c>
      <c r="F297">
        <v>1.9254307188863284E-2</v>
      </c>
      <c r="G297" s="2">
        <v>1.3280709330884708</v>
      </c>
    </row>
    <row r="298" spans="1:7" x14ac:dyDescent="0.35">
      <c r="A298" t="s">
        <v>127</v>
      </c>
      <c r="B298" t="s">
        <v>62</v>
      </c>
      <c r="C298">
        <v>1.8050541999999999E-2</v>
      </c>
      <c r="D298">
        <v>31</v>
      </c>
      <c r="E298">
        <v>5.8227554838709674E-4</v>
      </c>
      <c r="F298">
        <v>1.9254307188863284E-2</v>
      </c>
      <c r="G298" s="2">
        <v>3.0241313939557672</v>
      </c>
    </row>
    <row r="299" spans="1:7" x14ac:dyDescent="0.35">
      <c r="A299" t="s">
        <v>127</v>
      </c>
      <c r="B299" t="s">
        <v>64</v>
      </c>
      <c r="C299">
        <v>2.5236593000000002E-2</v>
      </c>
      <c r="D299">
        <v>40</v>
      </c>
      <c r="E299">
        <v>6.3091482500000006E-4</v>
      </c>
      <c r="F299">
        <v>1.9254307188863284E-2</v>
      </c>
      <c r="G299" s="2">
        <v>3.2767464381420175</v>
      </c>
    </row>
    <row r="300" spans="1:7" x14ac:dyDescent="0.35">
      <c r="A300" t="s">
        <v>127</v>
      </c>
      <c r="B300" t="s">
        <v>92</v>
      </c>
      <c r="C300">
        <v>3.0932391E-2</v>
      </c>
      <c r="D300">
        <v>24</v>
      </c>
      <c r="E300">
        <v>1.288849625E-3</v>
      </c>
      <c r="F300">
        <v>1.9254307188863284E-2</v>
      </c>
      <c r="G300" s="2">
        <v>6.6938249834586223</v>
      </c>
    </row>
    <row r="301" spans="1:7" x14ac:dyDescent="0.35">
      <c r="A301" t="s">
        <v>127</v>
      </c>
      <c r="B301" t="s">
        <v>21</v>
      </c>
      <c r="C301">
        <v>0.19997562699999999</v>
      </c>
      <c r="D301">
        <v>12</v>
      </c>
      <c r="E301">
        <v>1.6664635583333334E-2</v>
      </c>
      <c r="F301">
        <v>1.9895202736789557E-2</v>
      </c>
      <c r="G301" s="2">
        <v>83.762079752611101</v>
      </c>
    </row>
    <row r="302" spans="1:7" x14ac:dyDescent="0.35">
      <c r="A302" t="s">
        <v>127</v>
      </c>
      <c r="B302" t="s">
        <v>0</v>
      </c>
      <c r="C302">
        <v>7.4460159999999997E-3</v>
      </c>
      <c r="D302">
        <v>14</v>
      </c>
      <c r="E302">
        <v>5.3185828571428574E-4</v>
      </c>
      <c r="F302">
        <v>1.9895202736789557E-2</v>
      </c>
      <c r="G302" s="2">
        <v>2.6732991503061734</v>
      </c>
    </row>
    <row r="303" spans="1:7" x14ac:dyDescent="0.35">
      <c r="A303" t="s">
        <v>127</v>
      </c>
      <c r="B303" t="s">
        <v>62</v>
      </c>
      <c r="C303">
        <v>2.1212121E-2</v>
      </c>
      <c r="D303">
        <v>31</v>
      </c>
      <c r="E303">
        <v>6.8426196774193555E-4</v>
      </c>
      <c r="F303">
        <v>1.9895202736789557E-2</v>
      </c>
      <c r="G303" s="2">
        <v>3.4393314649496922</v>
      </c>
    </row>
    <row r="304" spans="1:7" x14ac:dyDescent="0.35">
      <c r="A304" t="s">
        <v>127</v>
      </c>
      <c r="B304" t="s">
        <v>64</v>
      </c>
      <c r="C304">
        <v>2.8880866000000002E-2</v>
      </c>
      <c r="D304">
        <v>40</v>
      </c>
      <c r="E304">
        <v>7.2202165E-4</v>
      </c>
      <c r="F304">
        <v>1.9895202736789557E-2</v>
      </c>
      <c r="G304" s="2">
        <v>3.6291243650654601</v>
      </c>
    </row>
    <row r="305" spans="1:7" x14ac:dyDescent="0.35">
      <c r="A305" t="s">
        <v>127</v>
      </c>
      <c r="B305" t="s">
        <v>92</v>
      </c>
      <c r="C305">
        <v>3.1018206E-2</v>
      </c>
      <c r="D305">
        <v>24</v>
      </c>
      <c r="E305">
        <v>1.2924252499999999E-3</v>
      </c>
      <c r="F305">
        <v>1.9895202736789557E-2</v>
      </c>
      <c r="G305" s="2">
        <v>6.4961652670675702</v>
      </c>
    </row>
    <row r="306" spans="1:7" x14ac:dyDescent="0.35">
      <c r="A306" t="s">
        <v>127</v>
      </c>
      <c r="B306" t="s">
        <v>21</v>
      </c>
      <c r="C306">
        <v>0.20669431899999999</v>
      </c>
      <c r="D306">
        <v>12</v>
      </c>
      <c r="E306">
        <v>1.7224526583333333E-2</v>
      </c>
      <c r="F306">
        <v>2.0613259173886327E-2</v>
      </c>
      <c r="G306" s="2">
        <v>83.560423114235277</v>
      </c>
    </row>
    <row r="307" spans="1:7" x14ac:dyDescent="0.35">
      <c r="A307" t="s">
        <v>127</v>
      </c>
      <c r="B307" t="s">
        <v>0</v>
      </c>
      <c r="C307">
        <v>8.2000000000000007E-3</v>
      </c>
      <c r="D307">
        <v>14</v>
      </c>
      <c r="E307">
        <v>5.8571428571428576E-4</v>
      </c>
      <c r="F307">
        <v>2.0613259173886327E-2</v>
      </c>
      <c r="G307" s="2">
        <v>2.8414443381970922</v>
      </c>
    </row>
    <row r="308" spans="1:7" x14ac:dyDescent="0.35">
      <c r="A308" t="s">
        <v>127</v>
      </c>
      <c r="B308" t="s">
        <v>62</v>
      </c>
      <c r="C308">
        <v>2.1690494000000001E-2</v>
      </c>
      <c r="D308">
        <v>31</v>
      </c>
      <c r="E308">
        <v>6.9969335483870967E-4</v>
      </c>
      <c r="F308">
        <v>2.0613259173886327E-2</v>
      </c>
      <c r="G308" s="2">
        <v>3.3943848905034302</v>
      </c>
    </row>
    <row r="309" spans="1:7" x14ac:dyDescent="0.35">
      <c r="A309" t="s">
        <v>127</v>
      </c>
      <c r="B309" t="s">
        <v>64</v>
      </c>
      <c r="C309">
        <v>2.9810297999999999E-2</v>
      </c>
      <c r="D309">
        <v>40</v>
      </c>
      <c r="E309">
        <v>7.4525744999999997E-4</v>
      </c>
      <c r="F309">
        <v>2.0613259173886327E-2</v>
      </c>
      <c r="G309" s="2">
        <v>3.6154275445394917</v>
      </c>
    </row>
    <row r="310" spans="1:7" x14ac:dyDescent="0.35">
      <c r="A310" t="s">
        <v>127</v>
      </c>
      <c r="B310" t="s">
        <v>92</v>
      </c>
      <c r="C310">
        <v>3.2593619999999997E-2</v>
      </c>
      <c r="D310">
        <v>24</v>
      </c>
      <c r="E310">
        <v>1.3580674999999999E-3</v>
      </c>
      <c r="F310">
        <v>2.0613259173886327E-2</v>
      </c>
      <c r="G310" s="2">
        <v>6.5883201125247206</v>
      </c>
    </row>
    <row r="311" spans="1:7" x14ac:dyDescent="0.35">
      <c r="A311" t="s">
        <v>127</v>
      </c>
      <c r="B311" t="s">
        <v>21</v>
      </c>
      <c r="C311">
        <v>0.234987748</v>
      </c>
      <c r="D311">
        <v>12</v>
      </c>
      <c r="E311">
        <v>1.9582312333333334E-2</v>
      </c>
      <c r="F311">
        <v>2.3897918139938558E-2</v>
      </c>
      <c r="G311" s="2">
        <v>81.941498914949747</v>
      </c>
    </row>
    <row r="312" spans="1:7" x14ac:dyDescent="0.35">
      <c r="A312" t="s">
        <v>127</v>
      </c>
      <c r="B312" t="s">
        <v>0</v>
      </c>
      <c r="C312">
        <v>8.6538459999999998E-3</v>
      </c>
      <c r="D312">
        <v>14</v>
      </c>
      <c r="E312">
        <v>6.1813185714285708E-4</v>
      </c>
      <c r="F312">
        <v>2.3897918139938558E-2</v>
      </c>
      <c r="G312" s="2">
        <v>2.5865510691068354</v>
      </c>
    </row>
    <row r="313" spans="1:7" x14ac:dyDescent="0.35">
      <c r="A313" t="s">
        <v>127</v>
      </c>
      <c r="B313" t="s">
        <v>62</v>
      </c>
      <c r="C313">
        <v>4.4824775999999997E-2</v>
      </c>
      <c r="D313">
        <v>31</v>
      </c>
      <c r="E313">
        <v>1.4459605161290321E-3</v>
      </c>
      <c r="F313">
        <v>2.3897918139938558E-2</v>
      </c>
      <c r="G313" s="2">
        <v>6.0505710483312827</v>
      </c>
    </row>
    <row r="314" spans="1:7" x14ac:dyDescent="0.35">
      <c r="A314" t="s">
        <v>127</v>
      </c>
      <c r="B314" t="s">
        <v>64</v>
      </c>
      <c r="C314">
        <v>3.1040779000000001E-2</v>
      </c>
      <c r="D314">
        <v>40</v>
      </c>
      <c r="E314">
        <v>7.7601947500000002E-4</v>
      </c>
      <c r="F314">
        <v>2.3897918139938558E-2</v>
      </c>
      <c r="G314" s="2">
        <v>3.2472262665554315</v>
      </c>
    </row>
    <row r="315" spans="1:7" x14ac:dyDescent="0.35">
      <c r="A315" t="s">
        <v>127</v>
      </c>
      <c r="B315" t="s">
        <v>92</v>
      </c>
      <c r="C315">
        <v>3.5411854999999999E-2</v>
      </c>
      <c r="D315">
        <v>24</v>
      </c>
      <c r="E315">
        <v>1.4754939583333333E-3</v>
      </c>
      <c r="F315">
        <v>2.3897918139938558E-2</v>
      </c>
      <c r="G315" s="2">
        <v>6.1741527010566903</v>
      </c>
    </row>
    <row r="316" spans="1:7" x14ac:dyDescent="0.35">
      <c r="A316" t="s">
        <v>127</v>
      </c>
      <c r="B316" t="s">
        <v>21</v>
      </c>
      <c r="C316">
        <v>0.23574915199999999</v>
      </c>
      <c r="D316">
        <v>12</v>
      </c>
      <c r="E316">
        <v>1.9645762666666667E-2</v>
      </c>
      <c r="F316">
        <v>2.4576889087596004E-2</v>
      </c>
      <c r="G316" s="2">
        <v>79.935921086863331</v>
      </c>
    </row>
    <row r="317" spans="1:7" x14ac:dyDescent="0.35">
      <c r="A317" t="s">
        <v>127</v>
      </c>
      <c r="B317" t="s">
        <v>0</v>
      </c>
      <c r="C317">
        <v>8.8999999999999999E-3</v>
      </c>
      <c r="D317">
        <v>14</v>
      </c>
      <c r="E317">
        <v>6.3571428571428568E-4</v>
      </c>
      <c r="F317">
        <v>2.4576889087596004E-2</v>
      </c>
      <c r="G317" s="2">
        <v>2.5866344737468494</v>
      </c>
    </row>
    <row r="318" spans="1:7" x14ac:dyDescent="0.35">
      <c r="A318" t="s">
        <v>127</v>
      </c>
      <c r="B318" t="s">
        <v>62</v>
      </c>
      <c r="C318">
        <v>4.9908703999999998E-2</v>
      </c>
      <c r="D318">
        <v>31</v>
      </c>
      <c r="E318">
        <v>1.609958193548387E-3</v>
      </c>
      <c r="F318">
        <v>2.4576889087596004E-2</v>
      </c>
      <c r="G318" s="2">
        <v>6.5506996748458919</v>
      </c>
    </row>
    <row r="319" spans="1:7" x14ac:dyDescent="0.35">
      <c r="A319" t="s">
        <v>127</v>
      </c>
      <c r="B319" t="s">
        <v>64</v>
      </c>
      <c r="C319">
        <v>4.8282265999999997E-2</v>
      </c>
      <c r="D319">
        <v>40</v>
      </c>
      <c r="E319">
        <v>1.20705665E-3</v>
      </c>
      <c r="F319">
        <v>2.4576889087596004E-2</v>
      </c>
      <c r="G319" s="2">
        <v>4.9113484041770095</v>
      </c>
    </row>
    <row r="320" spans="1:7" x14ac:dyDescent="0.35">
      <c r="A320" t="s">
        <v>127</v>
      </c>
      <c r="B320" t="s">
        <v>92</v>
      </c>
      <c r="C320">
        <v>3.5481535000000002E-2</v>
      </c>
      <c r="D320">
        <v>24</v>
      </c>
      <c r="E320">
        <v>1.4783972916666667E-3</v>
      </c>
      <c r="F320">
        <v>2.4576889087596004E-2</v>
      </c>
      <c r="G320" s="2">
        <v>6.0153963603669283</v>
      </c>
    </row>
    <row r="321" spans="1:7" x14ac:dyDescent="0.35">
      <c r="A321" t="s">
        <v>127</v>
      </c>
      <c r="B321" t="s">
        <v>21</v>
      </c>
      <c r="C321">
        <v>0.26410582399999999</v>
      </c>
      <c r="D321">
        <v>12</v>
      </c>
      <c r="E321">
        <v>2.2008818666666666E-2</v>
      </c>
      <c r="F321">
        <v>2.7865792745967743E-2</v>
      </c>
      <c r="G321" s="2">
        <v>78.981491276078629</v>
      </c>
    </row>
    <row r="322" spans="1:7" x14ac:dyDescent="0.35">
      <c r="A322" t="s">
        <v>127</v>
      </c>
      <c r="B322" t="s">
        <v>0</v>
      </c>
      <c r="C322">
        <v>1.1132926E-2</v>
      </c>
      <c r="D322">
        <v>14</v>
      </c>
      <c r="E322">
        <v>7.9520899999999995E-4</v>
      </c>
      <c r="F322">
        <v>2.7865792745967743E-2</v>
      </c>
      <c r="G322" s="2">
        <v>2.8537103080086208</v>
      </c>
    </row>
    <row r="323" spans="1:7" x14ac:dyDescent="0.35">
      <c r="A323" t="s">
        <v>127</v>
      </c>
      <c r="B323" t="s">
        <v>62</v>
      </c>
      <c r="C323">
        <v>6.3558428E-2</v>
      </c>
      <c r="D323">
        <v>31</v>
      </c>
      <c r="E323">
        <v>2.0502718709677422E-3</v>
      </c>
      <c r="F323">
        <v>2.7865792745967743E-2</v>
      </c>
      <c r="G323" s="2">
        <v>7.3576656858772553</v>
      </c>
    </row>
    <row r="324" spans="1:7" x14ac:dyDescent="0.35">
      <c r="A324" t="s">
        <v>127</v>
      </c>
      <c r="B324" t="s">
        <v>64</v>
      </c>
      <c r="C324">
        <v>6.0546875E-2</v>
      </c>
      <c r="D324">
        <v>40</v>
      </c>
      <c r="E324">
        <v>1.513671875E-3</v>
      </c>
      <c r="F324">
        <v>2.7865792745967743E-2</v>
      </c>
      <c r="G324" s="2">
        <v>5.4320072240508308</v>
      </c>
    </row>
    <row r="325" spans="1:7" x14ac:dyDescent="0.35">
      <c r="A325" t="s">
        <v>127</v>
      </c>
      <c r="B325" t="s">
        <v>92</v>
      </c>
      <c r="C325">
        <v>3.5947712E-2</v>
      </c>
      <c r="D325">
        <v>24</v>
      </c>
      <c r="E325">
        <v>1.4978213333333332E-3</v>
      </c>
      <c r="F325">
        <v>2.7865792745967743E-2</v>
      </c>
      <c r="G325" s="2">
        <v>5.375125505984653</v>
      </c>
    </row>
    <row r="326" spans="1:7" x14ac:dyDescent="0.35">
      <c r="A326" t="s">
        <v>127</v>
      </c>
      <c r="B326" t="s">
        <v>21</v>
      </c>
      <c r="C326">
        <v>0.30023804500000001</v>
      </c>
      <c r="D326">
        <v>12</v>
      </c>
      <c r="E326">
        <v>2.5019837083333333E-2</v>
      </c>
      <c r="F326">
        <v>3.1576168760138246E-2</v>
      </c>
      <c r="G326" s="2">
        <v>79.236456054536845</v>
      </c>
    </row>
    <row r="327" spans="1:7" x14ac:dyDescent="0.35">
      <c r="A327" t="s">
        <v>127</v>
      </c>
      <c r="B327" t="s">
        <v>0</v>
      </c>
      <c r="C327">
        <v>1.1494252999999999E-2</v>
      </c>
      <c r="D327">
        <v>14</v>
      </c>
      <c r="E327">
        <v>8.2101807142857136E-4</v>
      </c>
      <c r="F327">
        <v>3.1576168760138246E-2</v>
      </c>
      <c r="G327" s="2">
        <v>2.6001193421065842</v>
      </c>
    </row>
    <row r="328" spans="1:7" x14ac:dyDescent="0.35">
      <c r="A328" t="s">
        <v>127</v>
      </c>
      <c r="B328" t="s">
        <v>62</v>
      </c>
      <c r="C328">
        <v>6.8790730999999994E-2</v>
      </c>
      <c r="D328">
        <v>31</v>
      </c>
      <c r="E328">
        <v>2.2190558387096774E-3</v>
      </c>
      <c r="F328">
        <v>3.1576168760138246E-2</v>
      </c>
      <c r="G328" s="2">
        <v>7.0276285117623685</v>
      </c>
    </row>
    <row r="329" spans="1:7" x14ac:dyDescent="0.35">
      <c r="A329" t="s">
        <v>127</v>
      </c>
      <c r="B329" t="s">
        <v>64</v>
      </c>
      <c r="C329">
        <v>7.6742824000000001E-2</v>
      </c>
      <c r="D329">
        <v>40</v>
      </c>
      <c r="E329">
        <v>1.9185706000000001E-3</v>
      </c>
      <c r="F329">
        <v>3.1576168760138246E-2</v>
      </c>
      <c r="G329" s="2">
        <v>6.0760081901449787</v>
      </c>
    </row>
    <row r="330" spans="1:7" x14ac:dyDescent="0.35">
      <c r="A330" t="s">
        <v>127</v>
      </c>
      <c r="B330" t="s">
        <v>92</v>
      </c>
      <c r="C330">
        <v>3.8344492000000001E-2</v>
      </c>
      <c r="D330">
        <v>24</v>
      </c>
      <c r="E330">
        <v>1.5976871666666668E-3</v>
      </c>
      <c r="F330">
        <v>3.1576168760138246E-2</v>
      </c>
      <c r="G330" s="2">
        <v>5.0597879014492317</v>
      </c>
    </row>
    <row r="331" spans="1:7" x14ac:dyDescent="0.35">
      <c r="A331" t="s">
        <v>127</v>
      </c>
      <c r="B331" t="s">
        <v>21</v>
      </c>
      <c r="C331">
        <v>0.31800529599999999</v>
      </c>
      <c r="D331">
        <v>12</v>
      </c>
      <c r="E331">
        <v>2.6500441333333333E-2</v>
      </c>
      <c r="F331">
        <v>3.3588982119278035E-2</v>
      </c>
      <c r="G331" s="2">
        <v>78.89623222051641</v>
      </c>
    </row>
    <row r="332" spans="1:7" x14ac:dyDescent="0.35">
      <c r="A332" t="s">
        <v>127</v>
      </c>
      <c r="B332" t="s">
        <v>0</v>
      </c>
      <c r="C332">
        <v>1.2372955999999999E-2</v>
      </c>
      <c r="D332">
        <v>14</v>
      </c>
      <c r="E332">
        <v>8.837825714285714E-4</v>
      </c>
      <c r="F332">
        <v>3.3588982119278035E-2</v>
      </c>
      <c r="G332" s="2">
        <v>2.6311680666301998</v>
      </c>
    </row>
    <row r="333" spans="1:7" x14ac:dyDescent="0.35">
      <c r="A333" t="s">
        <v>127</v>
      </c>
      <c r="B333" t="s">
        <v>62</v>
      </c>
      <c r="C333">
        <v>7.1815718000000001E-2</v>
      </c>
      <c r="D333">
        <v>31</v>
      </c>
      <c r="E333">
        <v>2.3166360645161289E-3</v>
      </c>
      <c r="F333">
        <v>3.3588982119278035E-2</v>
      </c>
      <c r="G333" s="2">
        <v>6.8970118126518649</v>
      </c>
    </row>
    <row r="334" spans="1:7" x14ac:dyDescent="0.35">
      <c r="A334" t="s">
        <v>127</v>
      </c>
      <c r="B334" t="s">
        <v>64</v>
      </c>
      <c r="C334">
        <v>9.0466926000000003E-2</v>
      </c>
      <c r="D334">
        <v>40</v>
      </c>
      <c r="E334">
        <v>2.2616731499999999E-3</v>
      </c>
      <c r="F334">
        <v>3.3588982119278035E-2</v>
      </c>
      <c r="G334" s="2">
        <v>6.7333780522689217</v>
      </c>
    </row>
    <row r="335" spans="1:7" x14ac:dyDescent="0.35">
      <c r="A335" t="s">
        <v>127</v>
      </c>
      <c r="B335" t="s">
        <v>92</v>
      </c>
      <c r="C335">
        <v>3.9034776E-2</v>
      </c>
      <c r="D335">
        <v>24</v>
      </c>
      <c r="E335">
        <v>1.6264490000000001E-3</v>
      </c>
      <c r="F335">
        <v>3.3588982119278035E-2</v>
      </c>
      <c r="G335" s="2">
        <v>4.8422098479325966</v>
      </c>
    </row>
    <row r="336" spans="1:7" x14ac:dyDescent="0.35">
      <c r="A336" t="s">
        <v>127</v>
      </c>
      <c r="B336" t="s">
        <v>21</v>
      </c>
      <c r="C336">
        <v>0.35019176099999999</v>
      </c>
      <c r="D336">
        <v>12</v>
      </c>
      <c r="E336">
        <v>2.9182646749999999E-2</v>
      </c>
      <c r="F336">
        <v>3.6676692947273423E-2</v>
      </c>
      <c r="G336" s="2">
        <v>79.567279394445677</v>
      </c>
    </row>
    <row r="337" spans="1:7" x14ac:dyDescent="0.35">
      <c r="A337" t="s">
        <v>127</v>
      </c>
      <c r="B337" t="s">
        <v>0</v>
      </c>
      <c r="C337">
        <v>1.7289072999999999E-2</v>
      </c>
      <c r="D337">
        <v>14</v>
      </c>
      <c r="E337">
        <v>1.2349337857142856E-3</v>
      </c>
      <c r="F337">
        <v>3.6676692947273423E-2</v>
      </c>
      <c r="G337" s="2">
        <v>3.3670805257432344</v>
      </c>
    </row>
    <row r="338" spans="1:7" x14ac:dyDescent="0.35">
      <c r="A338" t="s">
        <v>127</v>
      </c>
      <c r="B338" t="s">
        <v>62</v>
      </c>
      <c r="C338">
        <v>7.2195122E-2</v>
      </c>
      <c r="D338">
        <v>31</v>
      </c>
      <c r="E338">
        <v>2.3288749032258065E-3</v>
      </c>
      <c r="F338">
        <v>3.6676692947273423E-2</v>
      </c>
      <c r="G338" s="2">
        <v>6.3497407101938217</v>
      </c>
    </row>
    <row r="339" spans="1:7" x14ac:dyDescent="0.35">
      <c r="A339" t="s">
        <v>127</v>
      </c>
      <c r="B339" t="s">
        <v>64</v>
      </c>
      <c r="C339">
        <v>9.1707316999999997E-2</v>
      </c>
      <c r="D339">
        <v>40</v>
      </c>
      <c r="E339">
        <v>2.2926829250000001E-3</v>
      </c>
      <c r="F339">
        <v>3.6676692947273423E-2</v>
      </c>
      <c r="G339" s="2">
        <v>6.2510622980538928</v>
      </c>
    </row>
    <row r="340" spans="1:7" x14ac:dyDescent="0.35">
      <c r="A340" t="s">
        <v>127</v>
      </c>
      <c r="B340" t="s">
        <v>92</v>
      </c>
      <c r="C340">
        <v>3.9301309999999999E-2</v>
      </c>
      <c r="D340">
        <v>24</v>
      </c>
      <c r="E340">
        <v>1.6375545833333333E-3</v>
      </c>
      <c r="F340">
        <v>3.6676692947273423E-2</v>
      </c>
      <c r="G340" s="2">
        <v>4.4648370715633741</v>
      </c>
    </row>
    <row r="341" spans="1:7" x14ac:dyDescent="0.35">
      <c r="A341" t="s">
        <v>127</v>
      </c>
      <c r="B341" t="s">
        <v>21</v>
      </c>
      <c r="C341">
        <v>0.38828006999999998</v>
      </c>
      <c r="D341">
        <v>12</v>
      </c>
      <c r="E341">
        <v>3.2356672499999996E-2</v>
      </c>
      <c r="F341">
        <v>4.0250733610752681E-2</v>
      </c>
      <c r="G341" s="2">
        <v>80.387783271001439</v>
      </c>
    </row>
    <row r="342" spans="1:7" x14ac:dyDescent="0.35">
      <c r="A342" t="s">
        <v>127</v>
      </c>
      <c r="B342" t="s">
        <v>0</v>
      </c>
      <c r="C342">
        <v>1.8159806000000001E-2</v>
      </c>
      <c r="D342">
        <v>14</v>
      </c>
      <c r="E342">
        <v>1.2971289999999999E-3</v>
      </c>
      <c r="F342">
        <v>4.0250733610752681E-2</v>
      </c>
      <c r="G342" s="2">
        <v>3.222622008691741</v>
      </c>
    </row>
    <row r="343" spans="1:7" x14ac:dyDescent="0.35">
      <c r="A343" t="s">
        <v>127</v>
      </c>
      <c r="B343" t="s">
        <v>62</v>
      </c>
      <c r="C343">
        <v>7.3806836000000001E-2</v>
      </c>
      <c r="D343">
        <v>31</v>
      </c>
      <c r="E343">
        <v>2.3808656774193548E-3</v>
      </c>
      <c r="F343">
        <v>4.0250733610752681E-2</v>
      </c>
      <c r="G343" s="2">
        <v>5.9150864191536732</v>
      </c>
    </row>
    <row r="344" spans="1:7" x14ac:dyDescent="0.35">
      <c r="A344" t="s">
        <v>127</v>
      </c>
      <c r="B344" t="s">
        <v>64</v>
      </c>
      <c r="C344">
        <v>9.7046413999999998E-2</v>
      </c>
      <c r="D344">
        <v>40</v>
      </c>
      <c r="E344">
        <v>2.42616035E-3</v>
      </c>
      <c r="F344">
        <v>4.0250733610752681E-2</v>
      </c>
      <c r="G344" s="2">
        <v>6.0276177161448539</v>
      </c>
    </row>
    <row r="345" spans="1:7" x14ac:dyDescent="0.35">
      <c r="A345" t="s">
        <v>127</v>
      </c>
      <c r="B345" t="s">
        <v>92</v>
      </c>
      <c r="C345">
        <v>4.2957745999999998E-2</v>
      </c>
      <c r="D345">
        <v>24</v>
      </c>
      <c r="E345">
        <v>1.7899060833333333E-3</v>
      </c>
      <c r="F345">
        <v>4.0250733610752681E-2</v>
      </c>
      <c r="G345" s="2">
        <v>4.446890585008302</v>
      </c>
    </row>
    <row r="346" spans="1:7" x14ac:dyDescent="0.35">
      <c r="A346" t="s">
        <v>127</v>
      </c>
      <c r="B346" t="s">
        <v>21</v>
      </c>
      <c r="C346">
        <v>0.41960534300000002</v>
      </c>
      <c r="D346">
        <v>12</v>
      </c>
      <c r="E346">
        <v>3.4967111916666668E-2</v>
      </c>
      <c r="F346">
        <v>4.3141646232296466E-2</v>
      </c>
      <c r="G346" s="2">
        <v>81.051872078283779</v>
      </c>
    </row>
    <row r="347" spans="1:7" x14ac:dyDescent="0.35">
      <c r="A347" t="s">
        <v>127</v>
      </c>
      <c r="B347" t="s">
        <v>0</v>
      </c>
      <c r="C347">
        <v>1.9746120999999998E-2</v>
      </c>
      <c r="D347">
        <v>14</v>
      </c>
      <c r="E347">
        <v>1.4104372142857142E-3</v>
      </c>
      <c r="F347">
        <v>4.3141646232296466E-2</v>
      </c>
      <c r="G347" s="2">
        <v>3.2693170925634272</v>
      </c>
    </row>
    <row r="348" spans="1:7" x14ac:dyDescent="0.35">
      <c r="A348" t="s">
        <v>127</v>
      </c>
      <c r="B348" t="s">
        <v>62</v>
      </c>
      <c r="C348">
        <v>7.5327511E-2</v>
      </c>
      <c r="D348">
        <v>31</v>
      </c>
      <c r="E348">
        <v>2.4299197096774193E-3</v>
      </c>
      <c r="F348">
        <v>4.3141646232296466E-2</v>
      </c>
      <c r="G348" s="2">
        <v>5.6324223155359014</v>
      </c>
    </row>
    <row r="349" spans="1:7" x14ac:dyDescent="0.35">
      <c r="A349" t="s">
        <v>127</v>
      </c>
      <c r="B349" t="s">
        <v>64</v>
      </c>
      <c r="C349">
        <v>0.101164929</v>
      </c>
      <c r="D349">
        <v>40</v>
      </c>
      <c r="E349">
        <v>2.5291232249999998E-3</v>
      </c>
      <c r="F349">
        <v>4.3141646232296466E-2</v>
      </c>
      <c r="G349" s="2">
        <v>5.8623706925366736</v>
      </c>
    </row>
    <row r="350" spans="1:7" x14ac:dyDescent="0.35">
      <c r="A350" t="s">
        <v>127</v>
      </c>
      <c r="B350" t="s">
        <v>92</v>
      </c>
      <c r="C350">
        <v>4.33213E-2</v>
      </c>
      <c r="D350">
        <v>24</v>
      </c>
      <c r="E350">
        <v>1.8050541666666667E-3</v>
      </c>
      <c r="F350">
        <v>4.3141646232296466E-2</v>
      </c>
      <c r="G350" s="2">
        <v>4.1840178210802188</v>
      </c>
    </row>
    <row r="351" spans="1:7" x14ac:dyDescent="0.35">
      <c r="A351" t="s">
        <v>127</v>
      </c>
      <c r="B351" t="s">
        <v>21</v>
      </c>
      <c r="C351">
        <v>0.43074762999999999</v>
      </c>
      <c r="D351">
        <v>12</v>
      </c>
      <c r="E351">
        <v>3.5895635833333335E-2</v>
      </c>
      <c r="F351">
        <v>4.4684061452073737E-2</v>
      </c>
      <c r="G351" s="2">
        <v>80.332079642835282</v>
      </c>
    </row>
    <row r="352" spans="1:7" x14ac:dyDescent="0.35">
      <c r="A352" t="s">
        <v>127</v>
      </c>
      <c r="B352" t="s">
        <v>0</v>
      </c>
      <c r="C352">
        <v>2.4260804E-2</v>
      </c>
      <c r="D352">
        <v>14</v>
      </c>
      <c r="E352">
        <v>1.7329145714285715E-3</v>
      </c>
      <c r="F352">
        <v>4.4684061452073737E-2</v>
      </c>
      <c r="G352" s="2">
        <v>3.8781491993229471</v>
      </c>
    </row>
    <row r="353" spans="1:7" x14ac:dyDescent="0.35">
      <c r="A353" t="s">
        <v>127</v>
      </c>
      <c r="B353" t="s">
        <v>62</v>
      </c>
      <c r="C353">
        <v>7.8048779999999998E-2</v>
      </c>
      <c r="D353">
        <v>31</v>
      </c>
      <c r="E353">
        <v>2.5177025806451614E-3</v>
      </c>
      <c r="F353">
        <v>4.4684061452073737E-2</v>
      </c>
      <c r="G353" s="2">
        <v>5.6344533124983371</v>
      </c>
    </row>
    <row r="354" spans="1:7" x14ac:dyDescent="0.35">
      <c r="A354" t="s">
        <v>127</v>
      </c>
      <c r="B354" t="s">
        <v>64</v>
      </c>
      <c r="C354">
        <v>0.104728237</v>
      </c>
      <c r="D354">
        <v>40</v>
      </c>
      <c r="E354">
        <v>2.618205925E-3</v>
      </c>
      <c r="F354">
        <v>4.4684061452073737E-2</v>
      </c>
      <c r="G354" s="2">
        <v>5.8593732080692327</v>
      </c>
    </row>
    <row r="355" spans="1:7" x14ac:dyDescent="0.35">
      <c r="A355" t="s">
        <v>127</v>
      </c>
      <c r="B355" t="s">
        <v>92</v>
      </c>
      <c r="C355">
        <v>4.6070461E-2</v>
      </c>
      <c r="D355">
        <v>24</v>
      </c>
      <c r="E355">
        <v>1.9196025416666667E-3</v>
      </c>
      <c r="F355">
        <v>4.4684061452073737E-2</v>
      </c>
      <c r="G355" s="2">
        <v>4.295944637274193</v>
      </c>
    </row>
    <row r="356" spans="1:7" x14ac:dyDescent="0.35">
      <c r="A356" t="s">
        <v>127</v>
      </c>
      <c r="B356" t="s">
        <v>21</v>
      </c>
      <c r="C356">
        <v>0.435745938</v>
      </c>
      <c r="D356">
        <v>12</v>
      </c>
      <c r="E356">
        <v>3.6312161500000002E-2</v>
      </c>
      <c r="F356">
        <v>4.5547559767511521E-2</v>
      </c>
      <c r="G356" s="2">
        <v>79.723615678530805</v>
      </c>
    </row>
    <row r="357" spans="1:7" x14ac:dyDescent="0.35">
      <c r="A357" t="s">
        <v>127</v>
      </c>
      <c r="B357" t="s">
        <v>0</v>
      </c>
      <c r="C357">
        <v>2.6264591E-2</v>
      </c>
      <c r="D357">
        <v>14</v>
      </c>
      <c r="E357">
        <v>1.8760422142857142E-3</v>
      </c>
      <c r="F357">
        <v>4.5547559767511521E-2</v>
      </c>
      <c r="G357" s="2">
        <v>4.1188643779416489</v>
      </c>
    </row>
    <row r="358" spans="1:7" x14ac:dyDescent="0.35">
      <c r="A358" t="s">
        <v>127</v>
      </c>
      <c r="B358" t="s">
        <v>62</v>
      </c>
      <c r="C358">
        <v>8.3561644000000004E-2</v>
      </c>
      <c r="D358">
        <v>31</v>
      </c>
      <c r="E358">
        <v>2.6955369032258068E-3</v>
      </c>
      <c r="F358">
        <v>4.5547559767511521E-2</v>
      </c>
      <c r="G358" s="2">
        <v>5.9180709504189464</v>
      </c>
    </row>
    <row r="359" spans="1:7" x14ac:dyDescent="0.35">
      <c r="A359" t="s">
        <v>127</v>
      </c>
      <c r="B359" t="s">
        <v>64</v>
      </c>
      <c r="C359">
        <v>0.10599721099999999</v>
      </c>
      <c r="D359">
        <v>40</v>
      </c>
      <c r="E359">
        <v>2.6499302749999998E-3</v>
      </c>
      <c r="F359">
        <v>4.5547559767511521E-2</v>
      </c>
      <c r="G359" s="2">
        <v>5.8179412651875158</v>
      </c>
    </row>
    <row r="360" spans="1:7" x14ac:dyDescent="0.35">
      <c r="A360" t="s">
        <v>127</v>
      </c>
      <c r="B360" t="s">
        <v>92</v>
      </c>
      <c r="C360">
        <v>4.8333332999999999E-2</v>
      </c>
      <c r="D360">
        <v>24</v>
      </c>
      <c r="E360">
        <v>2.0138888750000001E-3</v>
      </c>
      <c r="F360">
        <v>4.5547559767511521E-2</v>
      </c>
      <c r="G360" s="2">
        <v>4.4215077279210924</v>
      </c>
    </row>
    <row r="361" spans="1:7" x14ac:dyDescent="0.35">
      <c r="A361" t="s">
        <v>127</v>
      </c>
      <c r="B361" t="s">
        <v>21</v>
      </c>
      <c r="C361">
        <v>0.58204545500000004</v>
      </c>
      <c r="D361">
        <v>12</v>
      </c>
      <c r="E361">
        <v>4.8503787916666673E-2</v>
      </c>
      <c r="F361">
        <v>5.8240530337288793E-2</v>
      </c>
      <c r="G361" s="2">
        <v>83.281844508912172</v>
      </c>
    </row>
    <row r="362" spans="1:7" x14ac:dyDescent="0.35">
      <c r="A362" t="s">
        <v>127</v>
      </c>
      <c r="B362" t="s">
        <v>0</v>
      </c>
      <c r="C362">
        <v>2.6977315000000002E-2</v>
      </c>
      <c r="D362">
        <v>14</v>
      </c>
      <c r="E362">
        <v>1.9269510714285715E-3</v>
      </c>
      <c r="F362">
        <v>5.8240530337288793E-2</v>
      </c>
      <c r="G362" s="2">
        <v>3.3086083870957324</v>
      </c>
    </row>
    <row r="363" spans="1:7" x14ac:dyDescent="0.35">
      <c r="A363" t="s">
        <v>127</v>
      </c>
      <c r="B363" t="s">
        <v>62</v>
      </c>
      <c r="C363">
        <v>8.8080169E-2</v>
      </c>
      <c r="D363">
        <v>31</v>
      </c>
      <c r="E363">
        <v>2.8412957741935484E-3</v>
      </c>
      <c r="F363">
        <v>5.8240530337288793E-2</v>
      </c>
      <c r="G363" s="2">
        <v>4.8785540889458456</v>
      </c>
    </row>
    <row r="364" spans="1:7" x14ac:dyDescent="0.35">
      <c r="A364" t="s">
        <v>127</v>
      </c>
      <c r="B364" t="s">
        <v>64</v>
      </c>
      <c r="C364">
        <v>0.116548043</v>
      </c>
      <c r="D364">
        <v>40</v>
      </c>
      <c r="E364">
        <v>2.913701075E-3</v>
      </c>
      <c r="F364">
        <v>5.8240530337288793E-2</v>
      </c>
      <c r="G364" s="2">
        <v>5.0028752453417962</v>
      </c>
    </row>
    <row r="365" spans="1:7" x14ac:dyDescent="0.35">
      <c r="A365" t="s">
        <v>127</v>
      </c>
      <c r="B365" t="s">
        <v>92</v>
      </c>
      <c r="C365">
        <v>4.9315067999999997E-2</v>
      </c>
      <c r="D365">
        <v>24</v>
      </c>
      <c r="E365">
        <v>2.0547944999999997E-3</v>
      </c>
      <c r="F365">
        <v>5.8240530337288793E-2</v>
      </c>
      <c r="G365" s="2">
        <v>3.5281177697044552</v>
      </c>
    </row>
    <row r="366" spans="1:7" x14ac:dyDescent="0.35">
      <c r="A366" t="s">
        <v>127</v>
      </c>
      <c r="B366" t="s">
        <v>21</v>
      </c>
      <c r="C366">
        <v>0.58436944899999999</v>
      </c>
      <c r="D366">
        <v>12</v>
      </c>
      <c r="E366">
        <v>4.8697454083333334E-2</v>
      </c>
      <c r="F366">
        <v>5.9316808704224268E-2</v>
      </c>
      <c r="G366" s="2">
        <v>82.097225301106477</v>
      </c>
    </row>
    <row r="367" spans="1:7" x14ac:dyDescent="0.35">
      <c r="A367" t="s">
        <v>127</v>
      </c>
      <c r="B367" t="s">
        <v>0</v>
      </c>
      <c r="C367">
        <v>2.8673835000000002E-2</v>
      </c>
      <c r="D367">
        <v>14</v>
      </c>
      <c r="E367">
        <v>2.0481310714285717E-3</v>
      </c>
      <c r="F367">
        <v>5.9316808704224268E-2</v>
      </c>
      <c r="G367" s="2">
        <v>3.4528679410946013</v>
      </c>
    </row>
    <row r="368" spans="1:7" x14ac:dyDescent="0.35">
      <c r="A368" t="s">
        <v>127</v>
      </c>
      <c r="B368" t="s">
        <v>62</v>
      </c>
      <c r="C368">
        <v>9.8978551999999997E-2</v>
      </c>
      <c r="D368">
        <v>31</v>
      </c>
      <c r="E368">
        <v>3.1928565161290323E-3</v>
      </c>
      <c r="F368">
        <v>5.9316808704224268E-2</v>
      </c>
      <c r="G368" s="2">
        <v>5.3827179611934381</v>
      </c>
    </row>
    <row r="369" spans="1:7" x14ac:dyDescent="0.35">
      <c r="A369" t="s">
        <v>127</v>
      </c>
      <c r="B369" t="s">
        <v>64</v>
      </c>
      <c r="C369">
        <v>0.123692308</v>
      </c>
      <c r="D369">
        <v>40</v>
      </c>
      <c r="E369">
        <v>3.0923077000000001E-3</v>
      </c>
      <c r="F369">
        <v>5.9316808704224268E-2</v>
      </c>
      <c r="G369" s="2">
        <v>5.2132064545471417</v>
      </c>
    </row>
    <row r="370" spans="1:7" x14ac:dyDescent="0.35">
      <c r="A370" t="s">
        <v>127</v>
      </c>
      <c r="B370" t="s">
        <v>92</v>
      </c>
      <c r="C370">
        <v>5.4865424000000003E-2</v>
      </c>
      <c r="D370">
        <v>24</v>
      </c>
      <c r="E370">
        <v>2.2860593333333336E-3</v>
      </c>
      <c r="F370">
        <v>5.9316808704224268E-2</v>
      </c>
      <c r="G370" s="2">
        <v>3.8539823420583499</v>
      </c>
    </row>
    <row r="371" spans="1:7" x14ac:dyDescent="0.35">
      <c r="A371" t="s">
        <v>127</v>
      </c>
      <c r="B371" t="s">
        <v>21</v>
      </c>
      <c r="C371">
        <v>0.67152862899999999</v>
      </c>
      <c r="D371">
        <v>12</v>
      </c>
      <c r="E371">
        <v>5.5960719083333332E-2</v>
      </c>
      <c r="F371">
        <v>6.8356305152918587E-2</v>
      </c>
      <c r="G371" s="2">
        <v>81.866214035625063</v>
      </c>
    </row>
    <row r="372" spans="1:7" x14ac:dyDescent="0.35">
      <c r="A372" t="s">
        <v>127</v>
      </c>
      <c r="B372" t="s">
        <v>0</v>
      </c>
      <c r="C372">
        <v>2.8705331000000001E-2</v>
      </c>
      <c r="D372">
        <v>14</v>
      </c>
      <c r="E372">
        <v>2.0503807857142858E-3</v>
      </c>
      <c r="F372">
        <v>6.8356305152918587E-2</v>
      </c>
      <c r="G372" s="2">
        <v>2.9995488801324446</v>
      </c>
    </row>
    <row r="373" spans="1:7" x14ac:dyDescent="0.35">
      <c r="A373" t="s">
        <v>127</v>
      </c>
      <c r="B373" t="s">
        <v>62</v>
      </c>
      <c r="C373">
        <v>0.11444984499999999</v>
      </c>
      <c r="D373">
        <v>31</v>
      </c>
      <c r="E373">
        <v>3.6919304838709676E-3</v>
      </c>
      <c r="F373">
        <v>6.8356305152918587E-2</v>
      </c>
      <c r="G373" s="2">
        <v>5.4010094249708498</v>
      </c>
    </row>
    <row r="374" spans="1:7" x14ac:dyDescent="0.35">
      <c r="A374" t="s">
        <v>127</v>
      </c>
      <c r="B374" t="s">
        <v>64</v>
      </c>
      <c r="C374">
        <v>0.136452242</v>
      </c>
      <c r="D374">
        <v>40</v>
      </c>
      <c r="E374">
        <v>3.41130605E-3</v>
      </c>
      <c r="F374">
        <v>6.8356305152918587E-2</v>
      </c>
      <c r="G374" s="2">
        <v>4.9904775314707726</v>
      </c>
    </row>
    <row r="375" spans="1:7" x14ac:dyDescent="0.35">
      <c r="A375" t="s">
        <v>127</v>
      </c>
      <c r="B375" t="s">
        <v>92</v>
      </c>
      <c r="C375">
        <v>7.7807249999999994E-2</v>
      </c>
      <c r="D375">
        <v>24</v>
      </c>
      <c r="E375">
        <v>3.2419687499999996E-3</v>
      </c>
      <c r="F375">
        <v>6.8356305152918587E-2</v>
      </c>
      <c r="G375" s="2">
        <v>4.7427501278008712</v>
      </c>
    </row>
    <row r="376" spans="1:7" x14ac:dyDescent="0.35">
      <c r="A376" t="s">
        <v>127</v>
      </c>
      <c r="B376" t="s">
        <v>21</v>
      </c>
      <c r="C376">
        <v>0.67496744500000005</v>
      </c>
      <c r="D376">
        <v>12</v>
      </c>
      <c r="E376">
        <v>5.624728708333334E-2</v>
      </c>
      <c r="F376">
        <v>6.9577703313671288E-2</v>
      </c>
      <c r="G376" s="2">
        <v>80.840965430776649</v>
      </c>
    </row>
    <row r="377" spans="1:7" x14ac:dyDescent="0.35">
      <c r="A377" t="s">
        <v>127</v>
      </c>
      <c r="B377" t="s">
        <v>0</v>
      </c>
      <c r="C377">
        <v>3.0634572999999998E-2</v>
      </c>
      <c r="D377">
        <v>14</v>
      </c>
      <c r="E377">
        <v>2.1881837857142855E-3</v>
      </c>
      <c r="F377">
        <v>6.9577703313671288E-2</v>
      </c>
      <c r="G377" s="2">
        <v>3.1449497202422467</v>
      </c>
    </row>
    <row r="378" spans="1:7" x14ac:dyDescent="0.35">
      <c r="A378" t="s">
        <v>127</v>
      </c>
      <c r="B378" t="s">
        <v>62</v>
      </c>
      <c r="C378">
        <v>0.116923077</v>
      </c>
      <c r="D378">
        <v>31</v>
      </c>
      <c r="E378">
        <v>3.7717121612903227E-3</v>
      </c>
      <c r="F378">
        <v>6.9577703313671288E-2</v>
      </c>
      <c r="G378" s="2">
        <v>5.4208632674847443</v>
      </c>
    </row>
    <row r="379" spans="1:7" x14ac:dyDescent="0.35">
      <c r="A379" t="s">
        <v>127</v>
      </c>
      <c r="B379" t="s">
        <v>64</v>
      </c>
      <c r="C379">
        <v>0.15256410300000001</v>
      </c>
      <c r="D379">
        <v>40</v>
      </c>
      <c r="E379">
        <v>3.8141025750000001E-3</v>
      </c>
      <c r="F379">
        <v>6.9577703313671288E-2</v>
      </c>
      <c r="G379" s="2">
        <v>5.4817885520095473</v>
      </c>
    </row>
    <row r="380" spans="1:7" x14ac:dyDescent="0.35">
      <c r="A380" t="s">
        <v>127</v>
      </c>
      <c r="B380" t="s">
        <v>92</v>
      </c>
      <c r="C380">
        <v>8.5354025E-2</v>
      </c>
      <c r="D380">
        <v>24</v>
      </c>
      <c r="E380">
        <v>3.5564177083333335E-3</v>
      </c>
      <c r="F380">
        <v>6.9577703313671288E-2</v>
      </c>
      <c r="G380" s="2">
        <v>5.1114330294868111</v>
      </c>
    </row>
    <row r="381" spans="1:7" x14ac:dyDescent="0.35">
      <c r="A381" t="s">
        <v>127</v>
      </c>
      <c r="B381" t="s">
        <v>21</v>
      </c>
      <c r="C381">
        <v>0.71062271099999996</v>
      </c>
      <c r="D381">
        <v>12</v>
      </c>
      <c r="E381">
        <v>5.9218559249999997E-2</v>
      </c>
      <c r="F381">
        <v>7.3478475836943169E-2</v>
      </c>
      <c r="G381" s="2">
        <v>80.593069705763227</v>
      </c>
    </row>
    <row r="382" spans="1:7" x14ac:dyDescent="0.35">
      <c r="A382" t="s">
        <v>127</v>
      </c>
      <c r="B382" t="s">
        <v>0</v>
      </c>
      <c r="C382">
        <v>3.2597266E-2</v>
      </c>
      <c r="D382">
        <v>14</v>
      </c>
      <c r="E382">
        <v>2.3283761428571428E-3</v>
      </c>
      <c r="F382">
        <v>7.3478475836943169E-2</v>
      </c>
      <c r="G382" s="2">
        <v>3.168786663490498</v>
      </c>
    </row>
    <row r="383" spans="1:7" x14ac:dyDescent="0.35">
      <c r="A383" t="s">
        <v>127</v>
      </c>
      <c r="B383" t="s">
        <v>62</v>
      </c>
      <c r="C383">
        <v>0.12010676200000001</v>
      </c>
      <c r="D383">
        <v>31</v>
      </c>
      <c r="E383">
        <v>3.8744116774193549E-3</v>
      </c>
      <c r="F383">
        <v>7.3478475836943169E-2</v>
      </c>
      <c r="G383" s="2">
        <v>5.2728525371390411</v>
      </c>
    </row>
    <row r="384" spans="1:7" x14ac:dyDescent="0.35">
      <c r="A384" t="s">
        <v>127</v>
      </c>
      <c r="B384" t="s">
        <v>64</v>
      </c>
      <c r="C384">
        <v>0.16467780400000001</v>
      </c>
      <c r="D384">
        <v>40</v>
      </c>
      <c r="E384">
        <v>4.1169450999999999E-3</v>
      </c>
      <c r="F384">
        <v>7.3478475836943169E-2</v>
      </c>
      <c r="G384" s="2">
        <v>5.6029266436282024</v>
      </c>
    </row>
    <row r="385" spans="1:7" x14ac:dyDescent="0.35">
      <c r="A385" t="s">
        <v>127</v>
      </c>
      <c r="B385" t="s">
        <v>92</v>
      </c>
      <c r="C385">
        <v>9.4564408000000003E-2</v>
      </c>
      <c r="D385">
        <v>24</v>
      </c>
      <c r="E385">
        <v>3.9401836666666671E-3</v>
      </c>
      <c r="F385">
        <v>7.3478475836943169E-2</v>
      </c>
      <c r="G385" s="2">
        <v>5.3623644499790233</v>
      </c>
    </row>
    <row r="386" spans="1:7" x14ac:dyDescent="0.35">
      <c r="A386" t="s">
        <v>127</v>
      </c>
      <c r="B386" t="s">
        <v>21</v>
      </c>
      <c r="C386">
        <v>0.74533558700000002</v>
      </c>
      <c r="D386">
        <v>12</v>
      </c>
      <c r="E386">
        <v>6.2111298916666668E-2</v>
      </c>
      <c r="F386">
        <v>7.9317684622849466E-2</v>
      </c>
      <c r="G386" s="2">
        <v>78.30699951971863</v>
      </c>
    </row>
    <row r="387" spans="1:7" x14ac:dyDescent="0.35">
      <c r="A387" t="s">
        <v>127</v>
      </c>
      <c r="B387" t="s">
        <v>0</v>
      </c>
      <c r="C387">
        <v>3.6392405000000003E-2</v>
      </c>
      <c r="D387">
        <v>14</v>
      </c>
      <c r="E387">
        <v>2.5994575000000001E-3</v>
      </c>
      <c r="F387">
        <v>7.9317684622849466E-2</v>
      </c>
      <c r="G387" s="2">
        <v>3.2772735517435416</v>
      </c>
    </row>
    <row r="388" spans="1:7" x14ac:dyDescent="0.35">
      <c r="A388" t="s">
        <v>127</v>
      </c>
      <c r="B388" t="s">
        <v>62</v>
      </c>
      <c r="C388">
        <v>0.13249651300000001</v>
      </c>
      <c r="D388">
        <v>31</v>
      </c>
      <c r="E388">
        <v>4.2740810645161293E-3</v>
      </c>
      <c r="F388">
        <v>7.9317684622849466E-2</v>
      </c>
      <c r="G388" s="2">
        <v>5.3885600479125335</v>
      </c>
    </row>
    <row r="389" spans="1:7" x14ac:dyDescent="0.35">
      <c r="A389" t="s">
        <v>127</v>
      </c>
      <c r="B389" t="s">
        <v>64</v>
      </c>
      <c r="C389">
        <v>0.23787528899999999</v>
      </c>
      <c r="D389">
        <v>40</v>
      </c>
      <c r="E389">
        <v>5.9468822250000001E-3</v>
      </c>
      <c r="F389">
        <v>7.9317684622849466E-2</v>
      </c>
      <c r="G389" s="2">
        <v>7.4975489429337809</v>
      </c>
    </row>
    <row r="390" spans="1:7" x14ac:dyDescent="0.35">
      <c r="A390" t="s">
        <v>127</v>
      </c>
      <c r="B390" t="s">
        <v>92</v>
      </c>
      <c r="C390">
        <v>0.105263158</v>
      </c>
      <c r="D390">
        <v>24</v>
      </c>
      <c r="E390">
        <v>4.3859649166666662E-3</v>
      </c>
      <c r="F390">
        <v>7.9317684622849466E-2</v>
      </c>
      <c r="G390" s="2">
        <v>5.529617937691512</v>
      </c>
    </row>
    <row r="391" spans="1:7" x14ac:dyDescent="0.35">
      <c r="A391" t="s">
        <v>127</v>
      </c>
      <c r="B391" t="s">
        <v>21</v>
      </c>
      <c r="C391">
        <v>0.78287255600000005</v>
      </c>
      <c r="D391">
        <v>12</v>
      </c>
      <c r="E391">
        <v>6.5239379666666666E-2</v>
      </c>
      <c r="F391">
        <v>8.3360499251804915E-2</v>
      </c>
      <c r="G391" s="2">
        <v>78.261742974450939</v>
      </c>
    </row>
    <row r="392" spans="1:7" x14ac:dyDescent="0.35">
      <c r="A392" t="s">
        <v>127</v>
      </c>
      <c r="B392" t="s">
        <v>0</v>
      </c>
      <c r="C392">
        <v>4.1910331000000002E-2</v>
      </c>
      <c r="D392">
        <v>14</v>
      </c>
      <c r="E392">
        <v>2.9935950714285718E-3</v>
      </c>
      <c r="F392">
        <v>8.3360499251804915E-2</v>
      </c>
      <c r="G392" s="2">
        <v>3.5911434052066991</v>
      </c>
    </row>
    <row r="393" spans="1:7" x14ac:dyDescent="0.35">
      <c r="A393" t="s">
        <v>127</v>
      </c>
      <c r="B393" t="s">
        <v>62</v>
      </c>
      <c r="C393">
        <v>0.139051332</v>
      </c>
      <c r="D393">
        <v>31</v>
      </c>
      <c r="E393">
        <v>4.4855268387096773E-3</v>
      </c>
      <c r="F393">
        <v>8.3360499251804915E-2</v>
      </c>
      <c r="G393" s="2">
        <v>5.380878088506118</v>
      </c>
    </row>
    <row r="394" spans="1:7" x14ac:dyDescent="0.35">
      <c r="A394" t="s">
        <v>127</v>
      </c>
      <c r="B394" t="s">
        <v>64</v>
      </c>
      <c r="C394">
        <v>0.23997233700000001</v>
      </c>
      <c r="D394">
        <v>40</v>
      </c>
      <c r="E394">
        <v>5.9993084250000005E-3</v>
      </c>
      <c r="F394">
        <v>8.3360499251804915E-2</v>
      </c>
      <c r="G394" s="2">
        <v>7.1968240099882843</v>
      </c>
    </row>
    <row r="395" spans="1:7" x14ac:dyDescent="0.35">
      <c r="A395" t="s">
        <v>127</v>
      </c>
      <c r="B395" t="s">
        <v>92</v>
      </c>
      <c r="C395">
        <v>0.111424542</v>
      </c>
      <c r="D395">
        <v>24</v>
      </c>
      <c r="E395">
        <v>4.6426892500000001E-3</v>
      </c>
      <c r="F395">
        <v>8.3360499251804915E-2</v>
      </c>
      <c r="G395" s="2">
        <v>5.5694115218479538</v>
      </c>
    </row>
    <row r="396" spans="1:7" x14ac:dyDescent="0.35">
      <c r="A396" t="s">
        <v>127</v>
      </c>
      <c r="B396" t="s">
        <v>21</v>
      </c>
      <c r="C396">
        <v>0.80340667099999996</v>
      </c>
      <c r="D396">
        <v>12</v>
      </c>
      <c r="E396">
        <v>6.6950555916666668E-2</v>
      </c>
      <c r="F396">
        <v>8.6852060979953932E-2</v>
      </c>
      <c r="G396" s="2">
        <v>77.085742308543871</v>
      </c>
    </row>
    <row r="397" spans="1:7" x14ac:dyDescent="0.35">
      <c r="A397" t="s">
        <v>127</v>
      </c>
      <c r="B397" t="s">
        <v>0</v>
      </c>
      <c r="C397">
        <v>4.2253521000000002E-2</v>
      </c>
      <c r="D397">
        <v>14</v>
      </c>
      <c r="E397">
        <v>3.0181086428571432E-3</v>
      </c>
      <c r="F397">
        <v>8.6852060979953932E-2</v>
      </c>
      <c r="G397" s="2">
        <v>3.4749994517156524</v>
      </c>
    </row>
    <row r="398" spans="1:7" x14ac:dyDescent="0.35">
      <c r="A398" t="s">
        <v>127</v>
      </c>
      <c r="B398" t="s">
        <v>62</v>
      </c>
      <c r="C398">
        <v>0.156442318</v>
      </c>
      <c r="D398">
        <v>31</v>
      </c>
      <c r="E398">
        <v>5.0465263870967739E-3</v>
      </c>
      <c r="F398">
        <v>8.6852060979953932E-2</v>
      </c>
      <c r="G398" s="2">
        <v>5.8104854739849499</v>
      </c>
    </row>
    <row r="399" spans="1:7" x14ac:dyDescent="0.35">
      <c r="A399" t="s">
        <v>127</v>
      </c>
      <c r="B399" t="s">
        <v>64</v>
      </c>
      <c r="C399">
        <v>0.25552608300000001</v>
      </c>
      <c r="D399">
        <v>40</v>
      </c>
      <c r="E399">
        <v>6.3881520750000004E-3</v>
      </c>
      <c r="F399">
        <v>8.6852060979953932E-2</v>
      </c>
      <c r="G399" s="2">
        <v>7.3552106915164979</v>
      </c>
    </row>
    <row r="400" spans="1:7" x14ac:dyDescent="0.35">
      <c r="A400" t="s">
        <v>127</v>
      </c>
      <c r="B400" t="s">
        <v>92</v>
      </c>
      <c r="C400">
        <v>0.13076923100000001</v>
      </c>
      <c r="D400">
        <v>24</v>
      </c>
      <c r="E400">
        <v>5.4487179583333342E-3</v>
      </c>
      <c r="F400">
        <v>8.6852060979953932E-2</v>
      </c>
      <c r="G400" s="2">
        <v>6.2735620742390168</v>
      </c>
    </row>
    <row r="401" spans="1:7" x14ac:dyDescent="0.35">
      <c r="A401" t="s">
        <v>127</v>
      </c>
      <c r="B401" t="s">
        <v>21</v>
      </c>
      <c r="C401">
        <v>0.82187192099999995</v>
      </c>
      <c r="D401">
        <v>12</v>
      </c>
      <c r="E401">
        <v>6.8489326749999996E-2</v>
      </c>
      <c r="F401">
        <v>8.934333754692779E-2</v>
      </c>
      <c r="G401" s="2">
        <v>76.658572010504784</v>
      </c>
    </row>
    <row r="402" spans="1:7" x14ac:dyDescent="0.35">
      <c r="A402" t="s">
        <v>127</v>
      </c>
      <c r="B402" t="s">
        <v>0</v>
      </c>
      <c r="C402">
        <v>4.3300654000000001E-2</v>
      </c>
      <c r="D402">
        <v>14</v>
      </c>
      <c r="E402">
        <v>3.0929038571428573E-3</v>
      </c>
      <c r="F402">
        <v>8.934333754692779E-2</v>
      </c>
      <c r="G402" s="2">
        <v>3.4618181299957618</v>
      </c>
    </row>
    <row r="403" spans="1:7" x14ac:dyDescent="0.35">
      <c r="A403" t="s">
        <v>127</v>
      </c>
      <c r="B403" t="s">
        <v>62</v>
      </c>
      <c r="C403">
        <v>0.16894531300000001</v>
      </c>
      <c r="D403">
        <v>31</v>
      </c>
      <c r="E403">
        <v>5.4498488064516131E-3</v>
      </c>
      <c r="F403">
        <v>8.934333754692779E-2</v>
      </c>
      <c r="G403" s="2">
        <v>6.0998939104878049</v>
      </c>
    </row>
    <row r="404" spans="1:7" x14ac:dyDescent="0.35">
      <c r="A404" t="s">
        <v>127</v>
      </c>
      <c r="B404" t="s">
        <v>64</v>
      </c>
      <c r="C404">
        <v>0.27122153199999999</v>
      </c>
      <c r="D404">
        <v>40</v>
      </c>
      <c r="E404">
        <v>6.7805382999999997E-3</v>
      </c>
      <c r="F404">
        <v>8.934333754692779E-2</v>
      </c>
      <c r="G404" s="2">
        <v>7.5893049064106277</v>
      </c>
    </row>
    <row r="405" spans="1:7" x14ac:dyDescent="0.35">
      <c r="A405" t="s">
        <v>127</v>
      </c>
      <c r="B405" t="s">
        <v>92</v>
      </c>
      <c r="C405">
        <v>0.13273727599999999</v>
      </c>
      <c r="D405">
        <v>24</v>
      </c>
      <c r="E405">
        <v>5.5307198333333328E-3</v>
      </c>
      <c r="F405">
        <v>8.934333754692779E-2</v>
      </c>
      <c r="G405" s="2">
        <v>6.190411042601033</v>
      </c>
    </row>
    <row r="406" spans="1:7" x14ac:dyDescent="0.35">
      <c r="A406" t="s">
        <v>127</v>
      </c>
      <c r="B406" t="s">
        <v>21</v>
      </c>
      <c r="C406">
        <v>0.82795262599999997</v>
      </c>
      <c r="D406">
        <v>12</v>
      </c>
      <c r="E406">
        <v>6.8996052166666669E-2</v>
      </c>
      <c r="F406">
        <v>9.0559044554185869E-2</v>
      </c>
      <c r="G406" s="2">
        <v>76.189023974720698</v>
      </c>
    </row>
    <row r="407" spans="1:7" x14ac:dyDescent="0.35">
      <c r="A407" t="s">
        <v>127</v>
      </c>
      <c r="B407" t="s">
        <v>0</v>
      </c>
      <c r="C407">
        <v>4.5419554000000001E-2</v>
      </c>
      <c r="D407">
        <v>14</v>
      </c>
      <c r="E407">
        <v>3.244253857142857E-3</v>
      </c>
      <c r="F407">
        <v>9.0559044554185869E-2</v>
      </c>
      <c r="G407" s="2">
        <v>3.5824735929072911</v>
      </c>
    </row>
    <row r="408" spans="1:7" x14ac:dyDescent="0.35">
      <c r="A408" t="s">
        <v>127</v>
      </c>
      <c r="B408" t="s">
        <v>62</v>
      </c>
      <c r="C408">
        <v>0.178093104</v>
      </c>
      <c r="D408">
        <v>31</v>
      </c>
      <c r="E408">
        <v>5.7449388387096779E-3</v>
      </c>
      <c r="F408">
        <v>9.0559044554185869E-2</v>
      </c>
      <c r="G408" s="2">
        <v>6.3438598176377647</v>
      </c>
    </row>
    <row r="409" spans="1:7" x14ac:dyDescent="0.35">
      <c r="A409" t="s">
        <v>127</v>
      </c>
      <c r="B409" t="s">
        <v>64</v>
      </c>
      <c r="C409">
        <v>0.27997021599999999</v>
      </c>
      <c r="D409">
        <v>40</v>
      </c>
      <c r="E409">
        <v>6.9992553999999995E-3</v>
      </c>
      <c r="F409">
        <v>9.0559044554185869E-2</v>
      </c>
      <c r="G409" s="2">
        <v>7.728941305042154</v>
      </c>
    </row>
    <row r="410" spans="1:7" x14ac:dyDescent="0.35">
      <c r="A410" t="s">
        <v>127</v>
      </c>
      <c r="B410" t="s">
        <v>92</v>
      </c>
      <c r="C410">
        <v>0.13378906300000001</v>
      </c>
      <c r="D410">
        <v>24</v>
      </c>
      <c r="E410">
        <v>5.5745442916666672E-3</v>
      </c>
      <c r="F410">
        <v>9.0559044554185869E-2</v>
      </c>
      <c r="G410" s="2">
        <v>6.1557013096920947</v>
      </c>
    </row>
    <row r="411" spans="1:7" x14ac:dyDescent="0.35">
      <c r="A411" t="s">
        <v>127</v>
      </c>
      <c r="B411" t="s">
        <v>21</v>
      </c>
      <c r="C411">
        <v>0.83341234399999997</v>
      </c>
      <c r="D411">
        <v>12</v>
      </c>
      <c r="E411">
        <v>6.9451028666666664E-2</v>
      </c>
      <c r="F411">
        <v>9.5407379130337935E-2</v>
      </c>
      <c r="G411" s="2">
        <v>72.794189820253024</v>
      </c>
    </row>
    <row r="412" spans="1:7" x14ac:dyDescent="0.35">
      <c r="A412" t="s">
        <v>127</v>
      </c>
      <c r="B412" t="s">
        <v>0</v>
      </c>
      <c r="C412">
        <v>6.8777293000000003E-2</v>
      </c>
      <c r="D412">
        <v>14</v>
      </c>
      <c r="E412">
        <v>4.9126637857142856E-3</v>
      </c>
      <c r="F412">
        <v>9.5407379130337935E-2</v>
      </c>
      <c r="G412" s="2">
        <v>5.1491444692165755</v>
      </c>
    </row>
    <row r="413" spans="1:7" x14ac:dyDescent="0.35">
      <c r="A413" t="s">
        <v>127</v>
      </c>
      <c r="B413" t="s">
        <v>62</v>
      </c>
      <c r="C413">
        <v>0.235433225</v>
      </c>
      <c r="D413">
        <v>31</v>
      </c>
      <c r="E413">
        <v>7.5946201612903221E-3</v>
      </c>
      <c r="F413">
        <v>9.5407379130337935E-2</v>
      </c>
      <c r="G413" s="2">
        <v>7.9602020624790031</v>
      </c>
    </row>
    <row r="414" spans="1:7" x14ac:dyDescent="0.35">
      <c r="A414" t="s">
        <v>127</v>
      </c>
      <c r="B414" t="s">
        <v>64</v>
      </c>
      <c r="C414">
        <v>0.28085106399999998</v>
      </c>
      <c r="D414">
        <v>40</v>
      </c>
      <c r="E414">
        <v>7.0212765999999992E-3</v>
      </c>
      <c r="F414">
        <v>9.5407379130337935E-2</v>
      </c>
      <c r="G414" s="2">
        <v>7.3592594870550769</v>
      </c>
    </row>
    <row r="415" spans="1:7" x14ac:dyDescent="0.35">
      <c r="A415" t="s">
        <v>127</v>
      </c>
      <c r="B415" t="s">
        <v>92</v>
      </c>
      <c r="C415">
        <v>0.15426695800000001</v>
      </c>
      <c r="D415">
        <v>24</v>
      </c>
      <c r="E415">
        <v>6.4277899166666668E-3</v>
      </c>
      <c r="F415">
        <v>9.5407379130337935E-2</v>
      </c>
      <c r="G415" s="2">
        <v>6.7372041609963258</v>
      </c>
    </row>
    <row r="416" spans="1:7" x14ac:dyDescent="0.35">
      <c r="A416" t="s">
        <v>127</v>
      </c>
      <c r="B416" t="s">
        <v>21</v>
      </c>
      <c r="C416">
        <v>0.837309894</v>
      </c>
      <c r="D416">
        <v>12</v>
      </c>
      <c r="E416">
        <v>6.97758245E-2</v>
      </c>
      <c r="F416">
        <v>9.8381553569969277E-2</v>
      </c>
      <c r="G416" s="2">
        <v>70.923686370103127</v>
      </c>
    </row>
    <row r="417" spans="1:7" x14ac:dyDescent="0.35">
      <c r="A417" t="s">
        <v>127</v>
      </c>
      <c r="B417" t="s">
        <v>0</v>
      </c>
      <c r="C417">
        <v>8.6210571E-2</v>
      </c>
      <c r="D417">
        <v>14</v>
      </c>
      <c r="E417">
        <v>6.1578979285714288E-3</v>
      </c>
      <c r="F417">
        <v>9.8381553569969277E-2</v>
      </c>
      <c r="G417" s="2">
        <v>6.2591997230374199</v>
      </c>
    </row>
    <row r="418" spans="1:7" x14ac:dyDescent="0.35">
      <c r="A418" t="s">
        <v>127</v>
      </c>
      <c r="B418" t="s">
        <v>62</v>
      </c>
      <c r="C418">
        <v>0.23582296</v>
      </c>
      <c r="D418">
        <v>31</v>
      </c>
      <c r="E418">
        <v>7.6071922580645164E-3</v>
      </c>
      <c r="F418">
        <v>9.8381553569969277E-2</v>
      </c>
      <c r="G418" s="2">
        <v>7.7323359735870163</v>
      </c>
    </row>
    <row r="419" spans="1:7" x14ac:dyDescent="0.35">
      <c r="A419" t="s">
        <v>127</v>
      </c>
      <c r="B419" t="s">
        <v>64</v>
      </c>
      <c r="C419">
        <v>0.323246217</v>
      </c>
      <c r="D419">
        <v>40</v>
      </c>
      <c r="E419">
        <v>8.0811554250000001E-3</v>
      </c>
      <c r="F419">
        <v>9.8381553569969277E-2</v>
      </c>
      <c r="G419" s="2">
        <v>8.2140961712427689</v>
      </c>
    </row>
    <row r="420" spans="1:7" x14ac:dyDescent="0.35">
      <c r="A420" t="s">
        <v>127</v>
      </c>
      <c r="B420" t="s">
        <v>92</v>
      </c>
      <c r="C420">
        <v>0.162227603</v>
      </c>
      <c r="D420">
        <v>24</v>
      </c>
      <c r="E420">
        <v>6.7594834583333333E-3</v>
      </c>
      <c r="F420">
        <v>9.8381553569969277E-2</v>
      </c>
      <c r="G420" s="2">
        <v>6.8706817620296752</v>
      </c>
    </row>
    <row r="421" spans="1:7" x14ac:dyDescent="0.35">
      <c r="A421" t="s">
        <v>127</v>
      </c>
      <c r="B421" t="s">
        <v>21</v>
      </c>
      <c r="C421">
        <v>0.838966565</v>
      </c>
      <c r="D421">
        <v>12</v>
      </c>
      <c r="E421">
        <v>6.9913880416666671E-2</v>
      </c>
      <c r="F421">
        <v>9.3580955266397856E-2</v>
      </c>
      <c r="G421" s="2">
        <v>74.709517783444412</v>
      </c>
    </row>
    <row r="422" spans="1:7" x14ac:dyDescent="0.35">
      <c r="A422" t="s">
        <v>127</v>
      </c>
      <c r="B422" t="s">
        <v>62</v>
      </c>
      <c r="C422">
        <v>0.248054475</v>
      </c>
      <c r="D422">
        <v>31</v>
      </c>
      <c r="E422">
        <v>8.0017572580645159E-3</v>
      </c>
      <c r="F422">
        <v>9.3580955266397856E-2</v>
      </c>
      <c r="G422" s="2">
        <v>8.5506257499571703</v>
      </c>
    </row>
    <row r="423" spans="1:7" x14ac:dyDescent="0.35">
      <c r="A423" t="s">
        <v>127</v>
      </c>
      <c r="B423" t="s">
        <v>64</v>
      </c>
      <c r="C423">
        <v>0.33002129200000002</v>
      </c>
      <c r="D423">
        <v>40</v>
      </c>
      <c r="E423">
        <v>8.2505323000000002E-3</v>
      </c>
      <c r="F423">
        <v>9.3580955266397856E-2</v>
      </c>
      <c r="G423" s="2">
        <v>8.8164651413454003</v>
      </c>
    </row>
    <row r="424" spans="1:7" x14ac:dyDescent="0.35">
      <c r="A424" t="s">
        <v>127</v>
      </c>
      <c r="B424" t="s">
        <v>92</v>
      </c>
      <c r="C424">
        <v>0.177954847</v>
      </c>
      <c r="D424">
        <v>24</v>
      </c>
      <c r="E424">
        <v>7.4147852916666666E-3</v>
      </c>
      <c r="F424">
        <v>9.3580955266397856E-2</v>
      </c>
      <c r="G424" s="2">
        <v>7.9233913252530099</v>
      </c>
    </row>
    <row r="425" spans="1:7" x14ac:dyDescent="0.35">
      <c r="A425" t="s">
        <v>127</v>
      </c>
      <c r="B425" t="s">
        <v>21</v>
      </c>
      <c r="C425">
        <v>0.84414646100000001</v>
      </c>
      <c r="D425">
        <v>12</v>
      </c>
      <c r="E425">
        <v>7.0345538416666673E-2</v>
      </c>
      <c r="F425">
        <v>9.5631036188978488E-2</v>
      </c>
      <c r="G425" s="2">
        <v>73.559318417982396</v>
      </c>
    </row>
    <row r="426" spans="1:7" x14ac:dyDescent="0.35">
      <c r="A426" t="s">
        <v>127</v>
      </c>
      <c r="B426" t="s">
        <v>62</v>
      </c>
      <c r="C426">
        <v>0.27157635499999999</v>
      </c>
      <c r="D426">
        <v>31</v>
      </c>
      <c r="E426">
        <v>8.760527580645161E-3</v>
      </c>
      <c r="F426">
        <v>9.5631036188978488E-2</v>
      </c>
      <c r="G426" s="2">
        <v>9.160757772542901</v>
      </c>
    </row>
    <row r="427" spans="1:7" x14ac:dyDescent="0.35">
      <c r="A427" t="s">
        <v>127</v>
      </c>
      <c r="B427" t="s">
        <v>64</v>
      </c>
      <c r="C427">
        <v>0.340409401</v>
      </c>
      <c r="D427">
        <v>40</v>
      </c>
      <c r="E427">
        <v>8.510235025E-3</v>
      </c>
      <c r="F427">
        <v>9.5631036188978488E-2</v>
      </c>
      <c r="G427" s="2">
        <v>8.8990304446589352</v>
      </c>
    </row>
    <row r="428" spans="1:7" x14ac:dyDescent="0.35">
      <c r="A428" t="s">
        <v>127</v>
      </c>
      <c r="B428" t="s">
        <v>92</v>
      </c>
      <c r="C428">
        <v>0.19235364399999999</v>
      </c>
      <c r="D428">
        <v>24</v>
      </c>
      <c r="E428">
        <v>8.0147351666666668E-3</v>
      </c>
      <c r="F428">
        <v>9.5631036188978488E-2</v>
      </c>
      <c r="G428" s="2">
        <v>8.3808933648157709</v>
      </c>
    </row>
    <row r="429" spans="1:7" x14ac:dyDescent="0.35">
      <c r="A429" t="s">
        <v>127</v>
      </c>
      <c r="B429" t="s">
        <v>21</v>
      </c>
      <c r="C429">
        <v>0.882951351</v>
      </c>
      <c r="D429">
        <v>12</v>
      </c>
      <c r="E429">
        <v>7.3579279250000004E-2</v>
      </c>
      <c r="F429">
        <v>0.10046227821989248</v>
      </c>
      <c r="G429" s="2">
        <v>73.240703429947303</v>
      </c>
    </row>
    <row r="430" spans="1:7" x14ac:dyDescent="0.35">
      <c r="A430" t="s">
        <v>127</v>
      </c>
      <c r="B430" t="s">
        <v>62</v>
      </c>
      <c r="C430">
        <v>0.27656534999999999</v>
      </c>
      <c r="D430">
        <v>31</v>
      </c>
      <c r="E430">
        <v>8.9214629032258064E-3</v>
      </c>
      <c r="F430">
        <v>0.10046227821989248</v>
      </c>
      <c r="G430" s="2">
        <v>8.8804106987285838</v>
      </c>
    </row>
    <row r="431" spans="1:7" x14ac:dyDescent="0.35">
      <c r="A431" t="s">
        <v>127</v>
      </c>
      <c r="B431" t="s">
        <v>64</v>
      </c>
      <c r="C431">
        <v>0.35367545099999997</v>
      </c>
      <c r="D431">
        <v>40</v>
      </c>
      <c r="E431">
        <v>8.8418862749999987E-3</v>
      </c>
      <c r="F431">
        <v>0.10046227821989248</v>
      </c>
      <c r="G431" s="2">
        <v>8.8012002431866225</v>
      </c>
    </row>
    <row r="432" spans="1:7" x14ac:dyDescent="0.35">
      <c r="A432" t="s">
        <v>127</v>
      </c>
      <c r="B432" t="s">
        <v>92</v>
      </c>
      <c r="C432">
        <v>0.218871595</v>
      </c>
      <c r="D432">
        <v>24</v>
      </c>
      <c r="E432">
        <v>9.1196497916666668E-3</v>
      </c>
      <c r="F432">
        <v>0.10046227821989248</v>
      </c>
      <c r="G432" s="2">
        <v>9.0776856281374769</v>
      </c>
    </row>
    <row r="433" spans="1:7" x14ac:dyDescent="0.35">
      <c r="A433" t="s">
        <v>127</v>
      </c>
      <c r="B433" t="s">
        <v>21</v>
      </c>
      <c r="C433">
        <v>0.90321578300000005</v>
      </c>
      <c r="D433">
        <v>12</v>
      </c>
      <c r="E433">
        <v>7.5267981916666671E-2</v>
      </c>
      <c r="F433">
        <v>9.9797468768817205E-2</v>
      </c>
      <c r="G433" s="2">
        <v>75.420732454674194</v>
      </c>
    </row>
    <row r="434" spans="1:7" x14ac:dyDescent="0.35">
      <c r="A434" t="s">
        <v>127</v>
      </c>
      <c r="B434" t="s">
        <v>62</v>
      </c>
      <c r="C434">
        <v>0.30227743299999998</v>
      </c>
      <c r="D434">
        <v>31</v>
      </c>
      <c r="E434">
        <v>9.7508849354838705E-3</v>
      </c>
      <c r="F434">
        <v>9.9797468768817205E-2</v>
      </c>
      <c r="G434" s="2">
        <v>9.7706736010228745</v>
      </c>
    </row>
    <row r="435" spans="1:7" x14ac:dyDescent="0.35">
      <c r="A435" t="s">
        <v>127</v>
      </c>
      <c r="B435" t="s">
        <v>92</v>
      </c>
      <c r="C435">
        <v>0.35468644599999999</v>
      </c>
      <c r="D435">
        <v>24</v>
      </c>
      <c r="E435">
        <v>1.4778601916666667E-2</v>
      </c>
      <c r="F435">
        <v>9.9797468768817205E-2</v>
      </c>
      <c r="G435" s="2">
        <v>14.808593944302926</v>
      </c>
    </row>
    <row r="436" spans="1:7" x14ac:dyDescent="0.35">
      <c r="A436" t="s">
        <v>127</v>
      </c>
      <c r="B436" t="s">
        <v>21</v>
      </c>
      <c r="C436">
        <v>0.93952918900000004</v>
      </c>
      <c r="D436">
        <v>12</v>
      </c>
      <c r="E436">
        <v>7.8294099083333332E-2</v>
      </c>
      <c r="F436">
        <v>0.10310201120026881</v>
      </c>
      <c r="G436" s="2">
        <v>75.938478960659893</v>
      </c>
    </row>
    <row r="437" spans="1:7" x14ac:dyDescent="0.35">
      <c r="A437" t="s">
        <v>127</v>
      </c>
      <c r="B437" t="s">
        <v>105</v>
      </c>
      <c r="C437">
        <v>0.30454207</v>
      </c>
      <c r="D437">
        <v>31</v>
      </c>
      <c r="E437">
        <v>9.8239377419354831E-3</v>
      </c>
      <c r="F437">
        <v>0.10310201120026881</v>
      </c>
      <c r="G437" s="2">
        <v>9.5283667385043884</v>
      </c>
    </row>
    <row r="438" spans="1:7" x14ac:dyDescent="0.35">
      <c r="A438" t="s">
        <v>127</v>
      </c>
      <c r="B438" t="s">
        <v>92</v>
      </c>
      <c r="C438">
        <v>0.35961538500000001</v>
      </c>
      <c r="D438">
        <v>24</v>
      </c>
      <c r="E438">
        <v>1.4983974375E-2</v>
      </c>
      <c r="F438">
        <v>0.10310201120026881</v>
      </c>
      <c r="G438" s="2">
        <v>14.533154300835726</v>
      </c>
    </row>
    <row r="439" spans="1:7" x14ac:dyDescent="0.35">
      <c r="A439" t="s">
        <v>127</v>
      </c>
      <c r="B439" t="s">
        <v>21</v>
      </c>
      <c r="C439">
        <v>0.94663413900000004</v>
      </c>
      <c r="D439">
        <v>12</v>
      </c>
      <c r="E439">
        <v>7.8886178250000008E-2</v>
      </c>
      <c r="F439">
        <v>0.10429623567876345</v>
      </c>
      <c r="G439" s="2">
        <v>75.636649526808014</v>
      </c>
    </row>
    <row r="440" spans="1:7" x14ac:dyDescent="0.35">
      <c r="A440" t="s">
        <v>127</v>
      </c>
      <c r="B440" t="s">
        <v>105</v>
      </c>
      <c r="C440">
        <v>0.31130722</v>
      </c>
      <c r="D440">
        <v>31</v>
      </c>
      <c r="E440">
        <v>1.0042168387096774E-2</v>
      </c>
      <c r="F440">
        <v>0.10429623567876345</v>
      </c>
      <c r="G440" s="2">
        <v>9.6285051150139793</v>
      </c>
    </row>
    <row r="441" spans="1:7" x14ac:dyDescent="0.35">
      <c r="A441" t="s">
        <v>127</v>
      </c>
      <c r="B441" t="s">
        <v>92</v>
      </c>
      <c r="C441">
        <v>0.36882933699999998</v>
      </c>
      <c r="D441">
        <v>24</v>
      </c>
      <c r="E441">
        <v>1.5367889041666666E-2</v>
      </c>
      <c r="F441">
        <v>0.10429623567876345</v>
      </c>
      <c r="G441" s="2">
        <v>14.734845358178003</v>
      </c>
    </row>
    <row r="442" spans="1:7" x14ac:dyDescent="0.35">
      <c r="A442" t="s">
        <v>127</v>
      </c>
      <c r="B442" t="s">
        <v>21</v>
      </c>
      <c r="C442">
        <v>0.99164098199999995</v>
      </c>
      <c r="D442">
        <v>12</v>
      </c>
      <c r="E442">
        <v>8.2636748499999996E-2</v>
      </c>
      <c r="F442">
        <v>0.11046317390725806</v>
      </c>
      <c r="G442" s="2">
        <v>74.809319320644917</v>
      </c>
    </row>
    <row r="443" spans="1:7" x14ac:dyDescent="0.35">
      <c r="A443" t="s">
        <v>127</v>
      </c>
      <c r="B443" t="s">
        <v>105</v>
      </c>
      <c r="C443">
        <v>0.32515556000000001</v>
      </c>
      <c r="D443">
        <v>31</v>
      </c>
      <c r="E443">
        <v>1.0488889032258066E-2</v>
      </c>
      <c r="F443">
        <v>0.11046317390725806</v>
      </c>
      <c r="G443" s="2">
        <v>9.4953717707443914</v>
      </c>
    </row>
    <row r="444" spans="1:7" x14ac:dyDescent="0.35">
      <c r="A444" t="s">
        <v>127</v>
      </c>
      <c r="B444" t="s">
        <v>92</v>
      </c>
      <c r="C444">
        <v>0.41610087299999998</v>
      </c>
      <c r="D444">
        <v>24</v>
      </c>
      <c r="E444">
        <v>1.7337536375E-2</v>
      </c>
      <c r="F444">
        <v>0.11046317390725806</v>
      </c>
      <c r="G444" s="2">
        <v>15.695308908610697</v>
      </c>
    </row>
    <row r="445" spans="1:7" x14ac:dyDescent="0.35">
      <c r="A445" t="s">
        <v>127</v>
      </c>
      <c r="B445" t="s">
        <v>21</v>
      </c>
      <c r="C445">
        <v>1.1036852319999999</v>
      </c>
      <c r="D445">
        <v>12</v>
      </c>
      <c r="E445">
        <v>9.197376933333333E-2</v>
      </c>
      <c r="F445">
        <v>0.11988515295698925</v>
      </c>
      <c r="G445" s="2">
        <v>76.718231628173697</v>
      </c>
    </row>
    <row r="446" spans="1:7" x14ac:dyDescent="0.35">
      <c r="A446" t="s">
        <v>127</v>
      </c>
      <c r="B446" t="s">
        <v>105</v>
      </c>
      <c r="C446">
        <v>0.32598205899999999</v>
      </c>
      <c r="D446">
        <v>31</v>
      </c>
      <c r="E446">
        <v>1.051555029032258E-2</v>
      </c>
      <c r="F446">
        <v>0.11988515295698925</v>
      </c>
      <c r="G446" s="2">
        <v>8.7713532751592727</v>
      </c>
    </row>
    <row r="447" spans="1:7" x14ac:dyDescent="0.35">
      <c r="A447" t="s">
        <v>127</v>
      </c>
      <c r="B447" t="s">
        <v>92</v>
      </c>
      <c r="C447">
        <v>0.41749999999999998</v>
      </c>
      <c r="D447">
        <v>24</v>
      </c>
      <c r="E447">
        <v>1.7395833333333333E-2</v>
      </c>
      <c r="F447">
        <v>0.11988515295698925</v>
      </c>
      <c r="G447" s="2">
        <v>14.510415096667034</v>
      </c>
    </row>
    <row r="448" spans="1:7" x14ac:dyDescent="0.35">
      <c r="A448" t="s">
        <v>127</v>
      </c>
      <c r="B448" t="s">
        <v>21</v>
      </c>
      <c r="C448">
        <v>1.1053968249999999</v>
      </c>
      <c r="D448">
        <v>12</v>
      </c>
      <c r="E448">
        <v>9.2116402083333326E-2</v>
      </c>
      <c r="F448">
        <v>0.1215048551236559</v>
      </c>
      <c r="G448" s="2">
        <v>75.812939318010095</v>
      </c>
    </row>
    <row r="449" spans="1:7" x14ac:dyDescent="0.35">
      <c r="A449" t="s">
        <v>127</v>
      </c>
      <c r="B449" t="s">
        <v>105</v>
      </c>
      <c r="C449">
        <v>0.34622722900000003</v>
      </c>
      <c r="D449">
        <v>31</v>
      </c>
      <c r="E449">
        <v>1.1168620290322581E-2</v>
      </c>
      <c r="F449">
        <v>0.1215048551236559</v>
      </c>
      <c r="G449" s="2">
        <v>9.1919127667419041</v>
      </c>
    </row>
    <row r="450" spans="1:7" x14ac:dyDescent="0.35">
      <c r="A450" t="s">
        <v>127</v>
      </c>
      <c r="B450" t="s">
        <v>92</v>
      </c>
      <c r="C450">
        <v>0.43727598600000001</v>
      </c>
      <c r="D450">
        <v>24</v>
      </c>
      <c r="E450">
        <v>1.8219832750000001E-2</v>
      </c>
      <c r="F450">
        <v>0.1215048551236559</v>
      </c>
      <c r="G450" s="2">
        <v>14.995147915248008</v>
      </c>
    </row>
    <row r="451" spans="1:7" x14ac:dyDescent="0.35">
      <c r="A451" t="s">
        <v>127</v>
      </c>
      <c r="B451" t="s">
        <v>21</v>
      </c>
      <c r="C451">
        <v>1.168824654</v>
      </c>
      <c r="D451">
        <v>12</v>
      </c>
      <c r="E451">
        <v>9.7402054500000002E-2</v>
      </c>
      <c r="F451">
        <v>0.12754256744086021</v>
      </c>
      <c r="G451" s="2">
        <v>76.368271749872079</v>
      </c>
    </row>
    <row r="452" spans="1:7" x14ac:dyDescent="0.35">
      <c r="A452" t="s">
        <v>127</v>
      </c>
      <c r="B452" t="s">
        <v>105</v>
      </c>
      <c r="C452">
        <v>0.35684062100000002</v>
      </c>
      <c r="D452">
        <v>31</v>
      </c>
      <c r="E452">
        <v>1.151098777419355E-2</v>
      </c>
      <c r="F452">
        <v>0.12754256744086021</v>
      </c>
      <c r="G452" s="2">
        <v>9.0252125272066852</v>
      </c>
    </row>
    <row r="453" spans="1:7" x14ac:dyDescent="0.35">
      <c r="A453" t="s">
        <v>127</v>
      </c>
      <c r="B453" t="s">
        <v>92</v>
      </c>
      <c r="C453">
        <v>0.44710860400000002</v>
      </c>
      <c r="D453">
        <v>24</v>
      </c>
      <c r="E453">
        <v>1.8629525166666668E-2</v>
      </c>
      <c r="F453">
        <v>0.12754256744086021</v>
      </c>
      <c r="G453" s="2">
        <v>14.606515722921237</v>
      </c>
    </row>
    <row r="454" spans="1:7" x14ac:dyDescent="0.35">
      <c r="A454" t="s">
        <v>127</v>
      </c>
      <c r="B454" t="s">
        <v>21</v>
      </c>
      <c r="C454">
        <v>1.226888145</v>
      </c>
      <c r="D454">
        <v>12</v>
      </c>
      <c r="E454">
        <v>0.10224067874999999</v>
      </c>
      <c r="F454">
        <v>0.13283142119758065</v>
      </c>
      <c r="G454" s="2">
        <v>76.970251336783988</v>
      </c>
    </row>
    <row r="455" spans="1:7" x14ac:dyDescent="0.35">
      <c r="A455" t="s">
        <v>127</v>
      </c>
      <c r="B455" t="s">
        <v>105</v>
      </c>
      <c r="C455">
        <v>0.37070151299999998</v>
      </c>
      <c r="D455">
        <v>31</v>
      </c>
      <c r="E455">
        <v>1.1958113322580644E-2</v>
      </c>
      <c r="F455">
        <v>0.13283142119758065</v>
      </c>
      <c r="G455" s="2">
        <v>9.0024733717133838</v>
      </c>
    </row>
    <row r="456" spans="1:7" x14ac:dyDescent="0.35">
      <c r="A456" t="s">
        <v>127</v>
      </c>
      <c r="B456" t="s">
        <v>92</v>
      </c>
      <c r="C456">
        <v>0.44718309899999997</v>
      </c>
      <c r="D456">
        <v>24</v>
      </c>
      <c r="E456">
        <v>1.8632629124999998E-2</v>
      </c>
      <c r="F456">
        <v>0.13283142119758065</v>
      </c>
      <c r="G456" s="2">
        <v>14.027275291502614</v>
      </c>
    </row>
    <row r="457" spans="1:7" x14ac:dyDescent="0.35">
      <c r="A457" t="s">
        <v>127</v>
      </c>
      <c r="B457" t="s">
        <v>21</v>
      </c>
      <c r="C457">
        <v>1.334444535</v>
      </c>
      <c r="D457">
        <v>12</v>
      </c>
      <c r="E457">
        <v>0.11120371125</v>
      </c>
      <c r="F457">
        <v>0.14249508185618279</v>
      </c>
      <c r="G457" s="2">
        <v>78.040385535716609</v>
      </c>
    </row>
    <row r="458" spans="1:7" x14ac:dyDescent="0.35">
      <c r="A458" t="s">
        <v>127</v>
      </c>
      <c r="B458" t="s">
        <v>105</v>
      </c>
      <c r="C458">
        <v>0.37833333299999999</v>
      </c>
      <c r="D458">
        <v>31</v>
      </c>
      <c r="E458">
        <v>1.2204301064516129E-2</v>
      </c>
      <c r="F458">
        <v>0.14249508185618279</v>
      </c>
      <c r="G458" s="2">
        <v>8.5647173962352383</v>
      </c>
    </row>
    <row r="459" spans="1:7" x14ac:dyDescent="0.35">
      <c r="A459" t="s">
        <v>127</v>
      </c>
      <c r="B459" t="s">
        <v>92</v>
      </c>
      <c r="C459">
        <v>0.45808966899999998</v>
      </c>
      <c r="D459">
        <v>24</v>
      </c>
      <c r="E459">
        <v>1.9087069541666665E-2</v>
      </c>
      <c r="F459">
        <v>0.14249508185618279</v>
      </c>
      <c r="G459" s="2">
        <v>13.394897068048166</v>
      </c>
    </row>
    <row r="460" spans="1:7" x14ac:dyDescent="0.35">
      <c r="A460" t="s">
        <v>127</v>
      </c>
      <c r="B460" t="s">
        <v>21</v>
      </c>
      <c r="C460">
        <v>1.461039937</v>
      </c>
      <c r="D460">
        <v>12</v>
      </c>
      <c r="E460">
        <v>0.12175332808333333</v>
      </c>
      <c r="F460">
        <v>0.15524779630510752</v>
      </c>
      <c r="G460" s="2">
        <v>78.425157059268187</v>
      </c>
    </row>
    <row r="461" spans="1:7" x14ac:dyDescent="0.35">
      <c r="A461" t="s">
        <v>127</v>
      </c>
      <c r="B461" t="s">
        <v>105</v>
      </c>
      <c r="C461">
        <v>0.39038461499999999</v>
      </c>
      <c r="D461">
        <v>31</v>
      </c>
      <c r="E461">
        <v>1.2593052096774193E-2</v>
      </c>
      <c r="F461">
        <v>0.15524779630510752</v>
      </c>
      <c r="G461" s="2">
        <v>8.1115818687855299</v>
      </c>
    </row>
    <row r="462" spans="1:7" x14ac:dyDescent="0.35">
      <c r="A462" t="s">
        <v>127</v>
      </c>
      <c r="B462" t="s">
        <v>92</v>
      </c>
      <c r="C462">
        <v>0.50163398699999995</v>
      </c>
      <c r="D462">
        <v>24</v>
      </c>
      <c r="E462">
        <v>2.0901416124999999E-2</v>
      </c>
      <c r="F462">
        <v>0.15524779630510752</v>
      </c>
      <c r="G462" s="2">
        <v>13.463261071946283</v>
      </c>
    </row>
    <row r="463" spans="1:7" x14ac:dyDescent="0.35">
      <c r="A463" t="s">
        <v>127</v>
      </c>
      <c r="B463" t="s">
        <v>21</v>
      </c>
      <c r="C463">
        <v>1.615848792</v>
      </c>
      <c r="D463">
        <v>12</v>
      </c>
      <c r="E463">
        <v>0.13465406599999999</v>
      </c>
      <c r="F463">
        <v>0.17110529738844085</v>
      </c>
      <c r="G463" s="2">
        <v>78.696608495007737</v>
      </c>
    </row>
    <row r="464" spans="1:7" x14ac:dyDescent="0.35">
      <c r="A464" t="s">
        <v>127</v>
      </c>
      <c r="B464" t="s">
        <v>105</v>
      </c>
      <c r="C464">
        <v>0.416913113</v>
      </c>
      <c r="D464">
        <v>31</v>
      </c>
      <c r="E464">
        <v>1.3448810096774193E-2</v>
      </c>
      <c r="F464">
        <v>0.17110529738844085</v>
      </c>
      <c r="G464" s="2">
        <v>7.8599612648127968</v>
      </c>
    </row>
    <row r="465" spans="1:7" x14ac:dyDescent="0.35">
      <c r="A465" t="s">
        <v>127</v>
      </c>
      <c r="B465" t="s">
        <v>92</v>
      </c>
      <c r="C465">
        <v>0.55205811100000002</v>
      </c>
      <c r="D465">
        <v>24</v>
      </c>
      <c r="E465">
        <v>2.3002421291666669E-2</v>
      </c>
      <c r="F465">
        <v>0.17110529738844085</v>
      </c>
      <c r="G465" s="2">
        <v>13.443430240179469</v>
      </c>
    </row>
    <row r="466" spans="1:7" x14ac:dyDescent="0.35">
      <c r="A466" t="s">
        <v>127</v>
      </c>
      <c r="B466" t="s">
        <v>21</v>
      </c>
      <c r="C466">
        <v>1.6378155210000001</v>
      </c>
      <c r="D466">
        <v>12</v>
      </c>
      <c r="E466">
        <v>0.13648462675</v>
      </c>
      <c r="F466">
        <v>0.15075201513709677</v>
      </c>
      <c r="G466" s="2">
        <v>90.535855607554083</v>
      </c>
    </row>
    <row r="467" spans="1:7" x14ac:dyDescent="0.35">
      <c r="A467" t="s">
        <v>127</v>
      </c>
      <c r="B467" t="s">
        <v>62</v>
      </c>
      <c r="C467">
        <v>0.44228904000000002</v>
      </c>
      <c r="D467">
        <v>31</v>
      </c>
      <c r="E467">
        <v>1.4267388387096775E-2</v>
      </c>
      <c r="F467">
        <v>0.15075201513709677</v>
      </c>
      <c r="G467" s="2">
        <v>9.4641443924459256</v>
      </c>
    </row>
    <row r="468" spans="1:7" x14ac:dyDescent="0.35">
      <c r="A468" t="s">
        <v>127</v>
      </c>
      <c r="B468" t="s">
        <v>21</v>
      </c>
      <c r="C468">
        <v>1.689783528</v>
      </c>
      <c r="D468">
        <v>12</v>
      </c>
      <c r="E468">
        <v>0.14081529400000001</v>
      </c>
      <c r="F468">
        <v>0.1553746460967742</v>
      </c>
      <c r="G468" s="2">
        <v>90.629518739044471</v>
      </c>
    </row>
    <row r="469" spans="1:7" x14ac:dyDescent="0.35">
      <c r="A469" t="s">
        <v>127</v>
      </c>
      <c r="B469" t="s">
        <v>62</v>
      </c>
      <c r="C469">
        <v>0.45133991499999998</v>
      </c>
      <c r="D469">
        <v>31</v>
      </c>
      <c r="E469">
        <v>1.4559352096774192E-2</v>
      </c>
      <c r="F469">
        <v>0.1553746460967742</v>
      </c>
      <c r="G469" s="2">
        <v>9.3704812609555255</v>
      </c>
    </row>
    <row r="470" spans="1:7" x14ac:dyDescent="0.35">
      <c r="A470" t="s">
        <v>127</v>
      </c>
      <c r="B470" t="s">
        <v>21</v>
      </c>
      <c r="C470">
        <v>1.722491596</v>
      </c>
      <c r="D470">
        <v>12</v>
      </c>
      <c r="E470">
        <v>0.14354096633333333</v>
      </c>
      <c r="F470">
        <v>0.15825086394623655</v>
      </c>
      <c r="G470" s="2">
        <v>90.704696804751279</v>
      </c>
    </row>
    <row r="471" spans="1:7" x14ac:dyDescent="0.35">
      <c r="A471" t="s">
        <v>127</v>
      </c>
      <c r="B471" t="s">
        <v>62</v>
      </c>
      <c r="C471">
        <v>0.45600682599999998</v>
      </c>
      <c r="D471">
        <v>31</v>
      </c>
      <c r="E471">
        <v>1.4709897612903224E-2</v>
      </c>
      <c r="F471">
        <v>0.15825086394623655</v>
      </c>
      <c r="G471" s="2">
        <v>9.2953031952487173</v>
      </c>
    </row>
    <row r="472" spans="1:7" x14ac:dyDescent="0.35">
      <c r="A472" t="s">
        <v>127</v>
      </c>
      <c r="B472" t="s">
        <v>21</v>
      </c>
      <c r="C472">
        <v>1.8319200790000001</v>
      </c>
      <c r="D472">
        <v>12</v>
      </c>
      <c r="E472">
        <v>0.15266000658333334</v>
      </c>
      <c r="F472">
        <v>0.16814774026075269</v>
      </c>
      <c r="G472" s="2">
        <v>90.789210932361058</v>
      </c>
    </row>
    <row r="473" spans="1:7" x14ac:dyDescent="0.35">
      <c r="A473" t="s">
        <v>127</v>
      </c>
      <c r="B473" t="s">
        <v>62</v>
      </c>
      <c r="C473">
        <v>0.48011974400000001</v>
      </c>
      <c r="D473">
        <v>31</v>
      </c>
      <c r="E473">
        <v>1.5487733677419355E-2</v>
      </c>
      <c r="F473">
        <v>0.16814774026075269</v>
      </c>
      <c r="G473" s="2">
        <v>9.2107890676389559</v>
      </c>
    </row>
    <row r="474" spans="1:7" x14ac:dyDescent="0.35">
      <c r="A474" t="s">
        <v>127</v>
      </c>
      <c r="B474" t="s">
        <v>21</v>
      </c>
      <c r="C474">
        <v>1.8422467039999999</v>
      </c>
      <c r="D474">
        <v>12</v>
      </c>
      <c r="E474">
        <v>0.15352055866666667</v>
      </c>
      <c r="F474">
        <v>0.16947616047311828</v>
      </c>
      <c r="G474" s="2">
        <v>90.585341465189472</v>
      </c>
    </row>
    <row r="475" spans="1:7" x14ac:dyDescent="0.35">
      <c r="A475" t="s">
        <v>127</v>
      </c>
      <c r="B475" t="s">
        <v>62</v>
      </c>
      <c r="C475">
        <v>0.49462365600000002</v>
      </c>
      <c r="D475">
        <v>31</v>
      </c>
      <c r="E475">
        <v>1.5955601806451614E-2</v>
      </c>
      <c r="F475">
        <v>0.16947616047311828</v>
      </c>
      <c r="G475" s="2">
        <v>9.4146585348105258</v>
      </c>
    </row>
    <row r="476" spans="1:7" x14ac:dyDescent="0.35">
      <c r="A476" t="s">
        <v>127</v>
      </c>
      <c r="B476" t="s">
        <v>21</v>
      </c>
      <c r="C476">
        <v>1.8871635609999999</v>
      </c>
      <c r="D476">
        <v>12</v>
      </c>
      <c r="E476">
        <v>0.15726363008333333</v>
      </c>
      <c r="F476">
        <v>0.17494197272849463</v>
      </c>
      <c r="G476" s="2">
        <v>89.894739170114633</v>
      </c>
    </row>
    <row r="477" spans="1:7" x14ac:dyDescent="0.35">
      <c r="A477" t="s">
        <v>127</v>
      </c>
      <c r="B477" t="s">
        <v>62</v>
      </c>
      <c r="C477">
        <v>0.54802862200000002</v>
      </c>
      <c r="D477">
        <v>31</v>
      </c>
      <c r="E477">
        <v>1.7678342645161292E-2</v>
      </c>
      <c r="F477">
        <v>0.17494197272849463</v>
      </c>
      <c r="G477" s="2">
        <v>10.105260829885358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E080-4D71-473F-9B4B-A2458BE3A51E}">
  <dimension ref="A1:Q313"/>
  <sheetViews>
    <sheetView tabSelected="1" zoomScale="83" workbookViewId="0">
      <selection activeCell="AA14" sqref="AA14"/>
    </sheetView>
  </sheetViews>
  <sheetFormatPr defaultRowHeight="14.5" x14ac:dyDescent="0.35"/>
  <cols>
    <col min="13" max="13" width="8.7265625" style="10"/>
    <col min="14" max="14" width="8.7265625" style="6"/>
    <col min="15" max="15" width="8.7265625" style="10"/>
  </cols>
  <sheetData>
    <row r="1" spans="1:17" x14ac:dyDescent="0.35">
      <c r="A1" s="4" t="s">
        <v>11</v>
      </c>
      <c r="B1" s="4" t="s">
        <v>137</v>
      </c>
      <c r="C1" s="4" t="s">
        <v>138</v>
      </c>
      <c r="D1" s="4" t="s">
        <v>12</v>
      </c>
      <c r="E1" s="4" t="s">
        <v>98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139</v>
      </c>
      <c r="K1" s="4" t="s">
        <v>17</v>
      </c>
      <c r="L1" s="4" t="s">
        <v>136</v>
      </c>
      <c r="M1" s="3" t="s">
        <v>140</v>
      </c>
      <c r="N1" s="5" t="s">
        <v>141</v>
      </c>
      <c r="O1" s="3" t="s">
        <v>136</v>
      </c>
      <c r="P1" s="4" t="s">
        <v>97</v>
      </c>
      <c r="Q1" s="4" t="s">
        <v>103</v>
      </c>
    </row>
    <row r="2" spans="1:17" x14ac:dyDescent="0.35">
      <c r="A2" s="4" t="s">
        <v>18</v>
      </c>
      <c r="B2" s="4" t="s">
        <v>19</v>
      </c>
      <c r="C2" s="4" t="s">
        <v>20</v>
      </c>
      <c r="D2" s="4">
        <v>10</v>
      </c>
      <c r="E2" s="4" t="s">
        <v>9</v>
      </c>
      <c r="F2" s="4" t="s">
        <v>114</v>
      </c>
      <c r="G2" s="4" t="s">
        <v>21</v>
      </c>
      <c r="H2" s="4">
        <v>21.21</v>
      </c>
      <c r="I2" s="4" t="s">
        <v>22</v>
      </c>
      <c r="J2" s="4" t="s">
        <v>1</v>
      </c>
      <c r="K2" s="4">
        <v>7.41</v>
      </c>
      <c r="L2" s="7">
        <f>H2/K2</f>
        <v>2.8623481781376521</v>
      </c>
      <c r="M2" s="3">
        <v>1.0141093474426801</v>
      </c>
      <c r="N2" s="5">
        <f>IF(M2&lt;0,0,M2)</f>
        <v>1.0141093474426801</v>
      </c>
      <c r="O2" s="11">
        <f>L2-N2</f>
        <v>1.848238830694972</v>
      </c>
      <c r="P2" s="8">
        <v>12</v>
      </c>
      <c r="Q2" s="7">
        <f>O2/P2</f>
        <v>0.15401990255791434</v>
      </c>
    </row>
    <row r="3" spans="1:17" x14ac:dyDescent="0.35">
      <c r="A3" s="4" t="s">
        <v>18</v>
      </c>
      <c r="B3" s="4" t="s">
        <v>19</v>
      </c>
      <c r="C3" s="4" t="s">
        <v>20</v>
      </c>
      <c r="D3" s="4">
        <v>10</v>
      </c>
      <c r="E3" s="4" t="s">
        <v>9</v>
      </c>
      <c r="F3" s="4" t="s">
        <v>114</v>
      </c>
      <c r="G3" s="4" t="s">
        <v>0</v>
      </c>
      <c r="H3" s="4">
        <v>1.45</v>
      </c>
      <c r="I3" s="4" t="s">
        <v>61</v>
      </c>
      <c r="J3" s="4" t="s">
        <v>1</v>
      </c>
      <c r="K3" s="4">
        <v>7.41</v>
      </c>
      <c r="L3" s="7">
        <f t="shared" ref="L3:L66" si="0">H3/K3</f>
        <v>0.19568151147098514</v>
      </c>
      <c r="M3" s="3">
        <v>0</v>
      </c>
      <c r="N3" s="5">
        <f>IF(M3&lt;0,0,M3)</f>
        <v>0</v>
      </c>
      <c r="O3" s="3">
        <f t="shared" ref="O3:O66" si="1">L3-N3</f>
        <v>0.19568151147098514</v>
      </c>
      <c r="P3" s="8">
        <v>14</v>
      </c>
      <c r="Q3" s="7">
        <f t="shared" ref="Q3:Q66" si="2">O3/P3</f>
        <v>1.3977250819356081E-2</v>
      </c>
    </row>
    <row r="4" spans="1:17" x14ac:dyDescent="0.35">
      <c r="A4" s="4" t="s">
        <v>18</v>
      </c>
      <c r="B4" s="4" t="s">
        <v>19</v>
      </c>
      <c r="C4" s="4" t="s">
        <v>20</v>
      </c>
      <c r="D4" s="4">
        <v>10</v>
      </c>
      <c r="E4" s="4" t="s">
        <v>9</v>
      </c>
      <c r="F4" s="4" t="s">
        <v>114</v>
      </c>
      <c r="G4" s="4" t="s">
        <v>62</v>
      </c>
      <c r="H4" s="4">
        <v>0.31</v>
      </c>
      <c r="I4" s="4" t="s">
        <v>63</v>
      </c>
      <c r="J4" s="4" t="s">
        <v>1</v>
      </c>
      <c r="K4" s="4">
        <v>7.41</v>
      </c>
      <c r="L4" s="7">
        <f t="shared" si="0"/>
        <v>4.1835357624831308E-2</v>
      </c>
      <c r="M4" s="3">
        <v>0</v>
      </c>
      <c r="N4" s="5">
        <f t="shared" ref="N4:N67" si="3">IF(M4&lt;0,0,M4)</f>
        <v>0</v>
      </c>
      <c r="O4" s="3">
        <f t="shared" si="1"/>
        <v>4.1835357624831308E-2</v>
      </c>
      <c r="P4" s="8">
        <v>31</v>
      </c>
      <c r="Q4" s="7">
        <f t="shared" si="2"/>
        <v>1.3495276653171389E-3</v>
      </c>
    </row>
    <row r="5" spans="1:17" x14ac:dyDescent="0.35">
      <c r="A5" s="4" t="s">
        <v>18</v>
      </c>
      <c r="B5" s="4" t="s">
        <v>19</v>
      </c>
      <c r="C5" s="4" t="s">
        <v>20</v>
      </c>
      <c r="D5" s="4">
        <v>10</v>
      </c>
      <c r="E5" s="4" t="s">
        <v>9</v>
      </c>
      <c r="F5" s="4" t="s">
        <v>114</v>
      </c>
      <c r="G5" s="4" t="s">
        <v>21</v>
      </c>
      <c r="H5" s="4">
        <v>22.59</v>
      </c>
      <c r="I5" s="4" t="s">
        <v>22</v>
      </c>
      <c r="J5" s="4" t="s">
        <v>1</v>
      </c>
      <c r="K5" s="4">
        <v>7.72</v>
      </c>
      <c r="L5" s="7">
        <f t="shared" si="0"/>
        <v>2.9261658031088085</v>
      </c>
      <c r="M5" s="3">
        <v>1.0141093474426808</v>
      </c>
      <c r="N5" s="5">
        <f t="shared" si="3"/>
        <v>1.0141093474426808</v>
      </c>
      <c r="O5" s="3">
        <f t="shared" si="1"/>
        <v>1.9120564556661277</v>
      </c>
      <c r="P5" s="8">
        <v>12</v>
      </c>
      <c r="Q5" s="7">
        <f t="shared" si="2"/>
        <v>0.1593380379721773</v>
      </c>
    </row>
    <row r="6" spans="1:17" x14ac:dyDescent="0.35">
      <c r="A6" s="4" t="s">
        <v>18</v>
      </c>
      <c r="B6" s="4" t="s">
        <v>19</v>
      </c>
      <c r="C6" s="4" t="s">
        <v>20</v>
      </c>
      <c r="D6" s="4">
        <v>10</v>
      </c>
      <c r="E6" s="4" t="s">
        <v>9</v>
      </c>
      <c r="F6" s="4" t="s">
        <v>114</v>
      </c>
      <c r="G6" s="4" t="s">
        <v>0</v>
      </c>
      <c r="H6" s="4">
        <v>2.17</v>
      </c>
      <c r="I6" s="4" t="s">
        <v>61</v>
      </c>
      <c r="J6" s="4" t="s">
        <v>1</v>
      </c>
      <c r="K6" s="4">
        <v>7.72</v>
      </c>
      <c r="L6" s="7">
        <f t="shared" si="0"/>
        <v>0.2810880829015544</v>
      </c>
      <c r="M6" s="3">
        <v>0</v>
      </c>
      <c r="N6" s="5">
        <f t="shared" si="3"/>
        <v>0</v>
      </c>
      <c r="O6" s="3">
        <f t="shared" si="1"/>
        <v>0.2810880829015544</v>
      </c>
      <c r="P6" s="8">
        <v>14</v>
      </c>
      <c r="Q6" s="7">
        <f t="shared" si="2"/>
        <v>2.0077720207253884E-2</v>
      </c>
    </row>
    <row r="7" spans="1:17" x14ac:dyDescent="0.35">
      <c r="A7" s="4" t="s">
        <v>18</v>
      </c>
      <c r="B7" s="4" t="s">
        <v>19</v>
      </c>
      <c r="C7" s="4" t="s">
        <v>20</v>
      </c>
      <c r="D7" s="4">
        <v>10</v>
      </c>
      <c r="E7" s="4" t="s">
        <v>9</v>
      </c>
      <c r="F7" s="4" t="s">
        <v>114</v>
      </c>
      <c r="G7" s="4" t="s">
        <v>62</v>
      </c>
      <c r="H7" s="4">
        <v>0.31</v>
      </c>
      <c r="I7" s="4" t="s">
        <v>63</v>
      </c>
      <c r="J7" s="4" t="s">
        <v>1</v>
      </c>
      <c r="K7" s="4">
        <v>7.72</v>
      </c>
      <c r="L7" s="7">
        <f t="shared" si="0"/>
        <v>4.0155440414507776E-2</v>
      </c>
      <c r="M7" s="3">
        <v>0</v>
      </c>
      <c r="N7" s="5">
        <f t="shared" si="3"/>
        <v>0</v>
      </c>
      <c r="O7" s="3">
        <f t="shared" si="1"/>
        <v>4.0155440414507776E-2</v>
      </c>
      <c r="P7" s="8">
        <v>31</v>
      </c>
      <c r="Q7" s="7">
        <f t="shared" si="2"/>
        <v>1.2953367875647669E-3</v>
      </c>
    </row>
    <row r="8" spans="1:17" x14ac:dyDescent="0.35">
      <c r="A8" s="4" t="s">
        <v>55</v>
      </c>
      <c r="B8" s="4" t="s">
        <v>56</v>
      </c>
      <c r="C8" s="4" t="s">
        <v>20</v>
      </c>
      <c r="D8" s="4">
        <v>26</v>
      </c>
      <c r="E8" s="4" t="s">
        <v>9</v>
      </c>
      <c r="F8" s="4" t="s">
        <v>117</v>
      </c>
      <c r="G8" s="4" t="s">
        <v>21</v>
      </c>
      <c r="H8" s="4">
        <v>17.079999999999998</v>
      </c>
      <c r="I8" s="4" t="s">
        <v>22</v>
      </c>
      <c r="J8" s="4" t="s">
        <v>1</v>
      </c>
      <c r="K8" s="4">
        <v>7.3</v>
      </c>
      <c r="L8" s="7">
        <f t="shared" si="0"/>
        <v>2.3397260273972602</v>
      </c>
      <c r="M8" s="3">
        <v>0.24631268436578169</v>
      </c>
      <c r="N8" s="5">
        <f t="shared" si="3"/>
        <v>0.24631268436578169</v>
      </c>
      <c r="O8" s="3">
        <f t="shared" si="1"/>
        <v>2.0934133430314787</v>
      </c>
      <c r="P8" s="8">
        <v>12</v>
      </c>
      <c r="Q8" s="7">
        <f t="shared" si="2"/>
        <v>0.17445111191928989</v>
      </c>
    </row>
    <row r="9" spans="1:17" x14ac:dyDescent="0.35">
      <c r="A9" s="4" t="s">
        <v>55</v>
      </c>
      <c r="B9" s="4" t="s">
        <v>56</v>
      </c>
      <c r="C9" s="4" t="s">
        <v>20</v>
      </c>
      <c r="D9" s="4">
        <v>26</v>
      </c>
      <c r="E9" s="4" t="s">
        <v>9</v>
      </c>
      <c r="F9" s="4" t="s">
        <v>117</v>
      </c>
      <c r="G9" s="4" t="s">
        <v>0</v>
      </c>
      <c r="H9" s="4">
        <v>1.19</v>
      </c>
      <c r="I9" s="4" t="s">
        <v>61</v>
      </c>
      <c r="J9" s="4" t="s">
        <v>1</v>
      </c>
      <c r="K9" s="4">
        <v>7.3</v>
      </c>
      <c r="L9" s="7">
        <f t="shared" si="0"/>
        <v>0.16301369863013698</v>
      </c>
      <c r="M9" s="3">
        <v>0</v>
      </c>
      <c r="N9" s="5">
        <f t="shared" si="3"/>
        <v>0</v>
      </c>
      <c r="O9" s="3">
        <f t="shared" si="1"/>
        <v>0.16301369863013698</v>
      </c>
      <c r="P9" s="8">
        <v>14</v>
      </c>
      <c r="Q9" s="7">
        <f t="shared" si="2"/>
        <v>1.1643835616438355E-2</v>
      </c>
    </row>
    <row r="10" spans="1:17" x14ac:dyDescent="0.35">
      <c r="A10" s="4" t="s">
        <v>55</v>
      </c>
      <c r="B10" s="4" t="s">
        <v>56</v>
      </c>
      <c r="C10" s="4" t="s">
        <v>20</v>
      </c>
      <c r="D10" s="4">
        <v>26</v>
      </c>
      <c r="E10" s="4" t="s">
        <v>9</v>
      </c>
      <c r="F10" s="4" t="s">
        <v>117</v>
      </c>
      <c r="G10" s="4" t="s">
        <v>62</v>
      </c>
      <c r="H10" s="4">
        <v>9.61</v>
      </c>
      <c r="I10" s="4" t="s">
        <v>63</v>
      </c>
      <c r="J10" s="4" t="s">
        <v>1</v>
      </c>
      <c r="K10" s="4">
        <v>7.3</v>
      </c>
      <c r="L10" s="7">
        <f t="shared" si="0"/>
        <v>1.3164383561643835</v>
      </c>
      <c r="M10" s="3">
        <v>1.3274336283185841E-2</v>
      </c>
      <c r="N10" s="5">
        <f t="shared" si="3"/>
        <v>1.3274336283185841E-2</v>
      </c>
      <c r="O10" s="3">
        <f t="shared" si="1"/>
        <v>1.3031640198811978</v>
      </c>
      <c r="P10" s="8">
        <v>31</v>
      </c>
      <c r="Q10" s="7">
        <f t="shared" si="2"/>
        <v>4.2037549028425734E-2</v>
      </c>
    </row>
    <row r="11" spans="1:17" x14ac:dyDescent="0.35">
      <c r="A11" s="4" t="s">
        <v>86</v>
      </c>
      <c r="B11" s="4" t="s">
        <v>87</v>
      </c>
      <c r="C11" s="4" t="s">
        <v>20</v>
      </c>
      <c r="D11" s="4">
        <v>274</v>
      </c>
      <c r="E11" s="4" t="s">
        <v>10</v>
      </c>
      <c r="F11" s="4" t="s">
        <v>117</v>
      </c>
      <c r="G11" s="4" t="s">
        <v>21</v>
      </c>
      <c r="H11" s="4">
        <v>30.16</v>
      </c>
      <c r="I11" s="4" t="s">
        <v>22</v>
      </c>
      <c r="J11" s="4" t="s">
        <v>1</v>
      </c>
      <c r="K11" s="4">
        <v>10.97</v>
      </c>
      <c r="L11" s="7">
        <f t="shared" si="0"/>
        <v>2.7493163172288058</v>
      </c>
      <c r="M11" s="3">
        <v>0.19290780141843974</v>
      </c>
      <c r="N11" s="5">
        <f t="shared" si="3"/>
        <v>0.19290780141843974</v>
      </c>
      <c r="O11" s="3">
        <f t="shared" si="1"/>
        <v>2.5564085158103662</v>
      </c>
      <c r="P11" s="8">
        <v>12</v>
      </c>
      <c r="Q11" s="7">
        <f t="shared" si="2"/>
        <v>0.21303404298419717</v>
      </c>
    </row>
    <row r="12" spans="1:17" x14ac:dyDescent="0.35">
      <c r="A12" s="4" t="s">
        <v>86</v>
      </c>
      <c r="B12" s="4" t="s">
        <v>87</v>
      </c>
      <c r="C12" s="4" t="s">
        <v>20</v>
      </c>
      <c r="D12" s="4">
        <v>274</v>
      </c>
      <c r="E12" s="4" t="s">
        <v>10</v>
      </c>
      <c r="F12" s="4" t="s">
        <v>117</v>
      </c>
      <c r="G12" s="4" t="s">
        <v>0</v>
      </c>
      <c r="H12" s="4">
        <v>5.37</v>
      </c>
      <c r="I12" s="4" t="s">
        <v>61</v>
      </c>
      <c r="J12" s="4" t="s">
        <v>1</v>
      </c>
      <c r="K12" s="4">
        <v>10.97</v>
      </c>
      <c r="L12" s="7">
        <f t="shared" si="0"/>
        <v>0.48951686417502277</v>
      </c>
      <c r="M12" s="3">
        <v>0</v>
      </c>
      <c r="N12" s="5">
        <f t="shared" si="3"/>
        <v>0</v>
      </c>
      <c r="O12" s="3">
        <f t="shared" si="1"/>
        <v>0.48951686417502277</v>
      </c>
      <c r="P12" s="8">
        <v>14</v>
      </c>
      <c r="Q12" s="7">
        <f t="shared" si="2"/>
        <v>3.4965490298215912E-2</v>
      </c>
    </row>
    <row r="13" spans="1:17" x14ac:dyDescent="0.35">
      <c r="A13" s="4" t="s">
        <v>86</v>
      </c>
      <c r="B13" s="4" t="s">
        <v>87</v>
      </c>
      <c r="C13" s="4" t="s">
        <v>20</v>
      </c>
      <c r="D13" s="4">
        <v>274</v>
      </c>
      <c r="E13" s="4" t="s">
        <v>10</v>
      </c>
      <c r="F13" s="4" t="s">
        <v>117</v>
      </c>
      <c r="G13" s="4" t="s">
        <v>62</v>
      </c>
      <c r="H13" s="4">
        <v>0.68</v>
      </c>
      <c r="I13" s="4" t="s">
        <v>63</v>
      </c>
      <c r="J13" s="4" t="s">
        <v>1</v>
      </c>
      <c r="K13" s="4">
        <v>10.97</v>
      </c>
      <c r="L13" s="7">
        <f t="shared" si="0"/>
        <v>6.1987237921604377E-2</v>
      </c>
      <c r="M13" s="3">
        <v>3.5460992907801422E-3</v>
      </c>
      <c r="N13" s="5">
        <f t="shared" si="3"/>
        <v>3.5460992907801422E-3</v>
      </c>
      <c r="O13" s="3">
        <f t="shared" si="1"/>
        <v>5.8441138630824237E-2</v>
      </c>
      <c r="P13" s="8">
        <v>31</v>
      </c>
      <c r="Q13" s="7">
        <f t="shared" si="2"/>
        <v>1.885198020349169E-3</v>
      </c>
    </row>
    <row r="14" spans="1:17" x14ac:dyDescent="0.35">
      <c r="A14" s="4" t="s">
        <v>90</v>
      </c>
      <c r="B14" s="4" t="s">
        <v>66</v>
      </c>
      <c r="C14" s="4" t="s">
        <v>20</v>
      </c>
      <c r="D14" s="4">
        <v>300</v>
      </c>
      <c r="E14" s="4" t="s">
        <v>10</v>
      </c>
      <c r="F14" s="4" t="s">
        <v>116</v>
      </c>
      <c r="G14" s="4" t="s">
        <v>21</v>
      </c>
      <c r="H14" s="4">
        <v>25.45</v>
      </c>
      <c r="I14" s="4" t="s">
        <v>22</v>
      </c>
      <c r="J14" s="4" t="s">
        <v>1</v>
      </c>
      <c r="K14" s="4">
        <v>7.66</v>
      </c>
      <c r="L14" s="7">
        <f t="shared" si="0"/>
        <v>3.3224543080939948</v>
      </c>
      <c r="M14" s="9">
        <v>0.3512110726643598</v>
      </c>
      <c r="N14" s="5">
        <f t="shared" si="3"/>
        <v>0.3512110726643598</v>
      </c>
      <c r="O14" s="3">
        <f t="shared" si="1"/>
        <v>2.9712432354296352</v>
      </c>
      <c r="P14" s="8">
        <v>12</v>
      </c>
      <c r="Q14" s="7">
        <f t="shared" si="2"/>
        <v>0.24760360295246961</v>
      </c>
    </row>
    <row r="15" spans="1:17" x14ac:dyDescent="0.35">
      <c r="A15" s="4" t="s">
        <v>90</v>
      </c>
      <c r="B15" s="4" t="s">
        <v>66</v>
      </c>
      <c r="C15" s="4" t="s">
        <v>20</v>
      </c>
      <c r="D15" s="4">
        <v>300</v>
      </c>
      <c r="E15" s="4" t="s">
        <v>10</v>
      </c>
      <c r="F15" s="4" t="s">
        <v>116</v>
      </c>
      <c r="G15" s="4" t="s">
        <v>0</v>
      </c>
      <c r="H15" s="4">
        <v>1.39</v>
      </c>
      <c r="I15" s="4" t="s">
        <v>61</v>
      </c>
      <c r="J15" s="4" t="s">
        <v>1</v>
      </c>
      <c r="K15" s="4">
        <v>7.66</v>
      </c>
      <c r="L15" s="7">
        <f t="shared" si="0"/>
        <v>0.18146214099216709</v>
      </c>
      <c r="M15" s="9">
        <v>-0.43944636678200688</v>
      </c>
      <c r="N15" s="5">
        <f t="shared" si="3"/>
        <v>0</v>
      </c>
      <c r="O15" s="3">
        <f t="shared" si="1"/>
        <v>0.18146214099216709</v>
      </c>
      <c r="P15" s="8">
        <v>14</v>
      </c>
      <c r="Q15" s="7">
        <f t="shared" si="2"/>
        <v>1.2961581499440506E-2</v>
      </c>
    </row>
    <row r="16" spans="1:17" x14ac:dyDescent="0.35">
      <c r="A16" s="4" t="s">
        <v>90</v>
      </c>
      <c r="B16" s="4" t="s">
        <v>66</v>
      </c>
      <c r="C16" s="4" t="s">
        <v>20</v>
      </c>
      <c r="D16" s="4">
        <v>300</v>
      </c>
      <c r="E16" s="4" t="s">
        <v>10</v>
      </c>
      <c r="F16" s="4" t="s">
        <v>116</v>
      </c>
      <c r="G16" s="4" t="s">
        <v>62</v>
      </c>
      <c r="H16" s="4">
        <v>0.3</v>
      </c>
      <c r="I16" s="4" t="s">
        <v>63</v>
      </c>
      <c r="J16" s="4" t="s">
        <v>1</v>
      </c>
      <c r="K16" s="4">
        <v>7.66</v>
      </c>
      <c r="L16" s="7">
        <f t="shared" si="0"/>
        <v>3.9164490861618793E-2</v>
      </c>
      <c r="M16" s="9">
        <v>1.9031141868512111E-2</v>
      </c>
      <c r="N16" s="5">
        <f t="shared" si="3"/>
        <v>1.9031141868512111E-2</v>
      </c>
      <c r="O16" s="3">
        <f t="shared" si="1"/>
        <v>2.0133348993106683E-2</v>
      </c>
      <c r="P16" s="8">
        <v>31</v>
      </c>
      <c r="Q16" s="7">
        <f t="shared" si="2"/>
        <v>6.4946287074537691E-4</v>
      </c>
    </row>
    <row r="17" spans="1:17" x14ac:dyDescent="0.35">
      <c r="A17" s="4" t="s">
        <v>90</v>
      </c>
      <c r="B17" s="4" t="s">
        <v>66</v>
      </c>
      <c r="C17" s="4" t="s">
        <v>20</v>
      </c>
      <c r="D17" s="4">
        <v>300</v>
      </c>
      <c r="E17" s="4" t="s">
        <v>10</v>
      </c>
      <c r="F17" s="4" t="s">
        <v>116</v>
      </c>
      <c r="G17" s="4" t="s">
        <v>21</v>
      </c>
      <c r="H17" s="4">
        <v>17.79</v>
      </c>
      <c r="I17" s="4" t="s">
        <v>22</v>
      </c>
      <c r="J17" s="4" t="s">
        <v>1</v>
      </c>
      <c r="K17" s="4">
        <v>7.42</v>
      </c>
      <c r="L17" s="7">
        <f t="shared" si="0"/>
        <v>2.3975741239892181</v>
      </c>
      <c r="M17" s="9">
        <v>0.3512110726643598</v>
      </c>
      <c r="N17" s="5">
        <f t="shared" si="3"/>
        <v>0.3512110726643598</v>
      </c>
      <c r="O17" s="3">
        <f t="shared" si="1"/>
        <v>2.0463630513248585</v>
      </c>
      <c r="P17" s="8">
        <v>12</v>
      </c>
      <c r="Q17" s="7">
        <f>O17/P17</f>
        <v>0.17053025427707155</v>
      </c>
    </row>
    <row r="18" spans="1:17" x14ac:dyDescent="0.35">
      <c r="A18" s="4" t="s">
        <v>90</v>
      </c>
      <c r="B18" s="4" t="s">
        <v>66</v>
      </c>
      <c r="C18" s="4" t="s">
        <v>20</v>
      </c>
      <c r="D18" s="4">
        <v>300</v>
      </c>
      <c r="E18" s="4" t="s">
        <v>10</v>
      </c>
      <c r="F18" s="4" t="s">
        <v>116</v>
      </c>
      <c r="G18" s="4" t="s">
        <v>0</v>
      </c>
      <c r="H18" s="4">
        <v>0.04</v>
      </c>
      <c r="I18" s="4" t="s">
        <v>61</v>
      </c>
      <c r="J18" s="4" t="s">
        <v>1</v>
      </c>
      <c r="K18" s="4">
        <v>7.42</v>
      </c>
      <c r="L18" s="7">
        <f t="shared" si="0"/>
        <v>5.3908355795148251E-3</v>
      </c>
      <c r="M18" s="9">
        <v>-0.43944636678200688</v>
      </c>
      <c r="N18" s="5">
        <f t="shared" si="3"/>
        <v>0</v>
      </c>
      <c r="O18" s="3">
        <f t="shared" si="1"/>
        <v>5.3908355795148251E-3</v>
      </c>
      <c r="P18" s="8">
        <v>14</v>
      </c>
      <c r="Q18" s="7">
        <f t="shared" si="2"/>
        <v>3.8505968425105896E-4</v>
      </c>
    </row>
    <row r="19" spans="1:17" x14ac:dyDescent="0.35">
      <c r="A19" s="4" t="s">
        <v>90</v>
      </c>
      <c r="B19" s="4" t="s">
        <v>66</v>
      </c>
      <c r="C19" s="4" t="s">
        <v>20</v>
      </c>
      <c r="D19" s="4">
        <v>300</v>
      </c>
      <c r="E19" s="4" t="s">
        <v>10</v>
      </c>
      <c r="F19" s="4" t="s">
        <v>116</v>
      </c>
      <c r="G19" s="4" t="s">
        <v>62</v>
      </c>
      <c r="H19" s="4">
        <v>0.23</v>
      </c>
      <c r="I19" s="4" t="s">
        <v>63</v>
      </c>
      <c r="J19" s="4" t="s">
        <v>1</v>
      </c>
      <c r="K19" s="4">
        <v>7.42</v>
      </c>
      <c r="L19" s="7">
        <f t="shared" si="0"/>
        <v>3.0997304582210245E-2</v>
      </c>
      <c r="M19" s="9">
        <v>1.9031141868512111E-2</v>
      </c>
      <c r="N19" s="5">
        <f t="shared" si="3"/>
        <v>1.9031141868512111E-2</v>
      </c>
      <c r="O19" s="3">
        <f t="shared" si="1"/>
        <v>1.1966162713698134E-2</v>
      </c>
      <c r="P19" s="8">
        <v>31</v>
      </c>
      <c r="Q19" s="7">
        <f t="shared" si="2"/>
        <v>3.8600524882897205E-4</v>
      </c>
    </row>
    <row r="20" spans="1:17" x14ac:dyDescent="0.35">
      <c r="A20" s="4" t="s">
        <v>90</v>
      </c>
      <c r="B20" s="4" t="s">
        <v>66</v>
      </c>
      <c r="C20" s="4" t="s">
        <v>20</v>
      </c>
      <c r="D20" s="4">
        <v>300</v>
      </c>
      <c r="E20" s="4" t="s">
        <v>10</v>
      </c>
      <c r="F20" s="4" t="s">
        <v>116</v>
      </c>
      <c r="G20" s="4" t="s">
        <v>21</v>
      </c>
      <c r="H20" s="4">
        <v>32.159999999999997</v>
      </c>
      <c r="I20" s="4" t="s">
        <v>22</v>
      </c>
      <c r="J20" s="4" t="s">
        <v>1</v>
      </c>
      <c r="K20" s="4">
        <v>9.4</v>
      </c>
      <c r="L20" s="7">
        <f t="shared" si="0"/>
        <v>3.4212765957446805</v>
      </c>
      <c r="M20" s="9">
        <v>0.3512110726643598</v>
      </c>
      <c r="N20" s="5">
        <f t="shared" si="3"/>
        <v>0.3512110726643598</v>
      </c>
      <c r="O20" s="3">
        <f t="shared" si="1"/>
        <v>3.0700655230803209</v>
      </c>
      <c r="P20" s="8">
        <v>12</v>
      </c>
      <c r="Q20" s="7">
        <f t="shared" si="2"/>
        <v>0.25583879359002676</v>
      </c>
    </row>
    <row r="21" spans="1:17" x14ac:dyDescent="0.35">
      <c r="A21" s="4" t="s">
        <v>90</v>
      </c>
      <c r="B21" s="4" t="s">
        <v>66</v>
      </c>
      <c r="C21" s="4" t="s">
        <v>20</v>
      </c>
      <c r="D21" s="4">
        <v>300</v>
      </c>
      <c r="E21" s="4" t="s">
        <v>10</v>
      </c>
      <c r="F21" s="4" t="s">
        <v>116</v>
      </c>
      <c r="G21" s="4" t="s">
        <v>0</v>
      </c>
      <c r="H21" s="4">
        <v>2.3199999999999998</v>
      </c>
      <c r="I21" s="4" t="s">
        <v>61</v>
      </c>
      <c r="J21" s="4" t="s">
        <v>1</v>
      </c>
      <c r="K21" s="4">
        <v>9.4</v>
      </c>
      <c r="L21" s="7">
        <f t="shared" si="0"/>
        <v>0.24680851063829784</v>
      </c>
      <c r="M21" s="9">
        <v>-0.43944636678200688</v>
      </c>
      <c r="N21" s="5">
        <f t="shared" si="3"/>
        <v>0</v>
      </c>
      <c r="O21" s="3">
        <f t="shared" si="1"/>
        <v>0.24680851063829784</v>
      </c>
      <c r="P21" s="8">
        <v>14</v>
      </c>
      <c r="Q21" s="7">
        <f t="shared" si="2"/>
        <v>1.7629179331306987E-2</v>
      </c>
    </row>
    <row r="22" spans="1:17" x14ac:dyDescent="0.35">
      <c r="A22" s="4" t="s">
        <v>90</v>
      </c>
      <c r="B22" s="4" t="s">
        <v>66</v>
      </c>
      <c r="C22" s="4" t="s">
        <v>20</v>
      </c>
      <c r="D22" s="4">
        <v>300</v>
      </c>
      <c r="E22" s="4" t="s">
        <v>10</v>
      </c>
      <c r="F22" s="4" t="s">
        <v>116</v>
      </c>
      <c r="G22" s="4" t="s">
        <v>62</v>
      </c>
      <c r="H22" s="4">
        <v>0.03</v>
      </c>
      <c r="I22" s="4" t="s">
        <v>63</v>
      </c>
      <c r="J22" s="4" t="s">
        <v>1</v>
      </c>
      <c r="K22" s="4">
        <v>9.4</v>
      </c>
      <c r="L22" s="7">
        <f t="shared" si="0"/>
        <v>3.1914893617021275E-3</v>
      </c>
      <c r="M22" s="9">
        <v>1.9031141868512111E-2</v>
      </c>
      <c r="N22" s="5">
        <f t="shared" si="3"/>
        <v>1.9031141868512111E-2</v>
      </c>
      <c r="O22" s="3">
        <f t="shared" si="1"/>
        <v>-1.5839652506809982E-2</v>
      </c>
      <c r="P22" s="8">
        <v>31</v>
      </c>
      <c r="Q22" s="7">
        <f t="shared" si="2"/>
        <v>-5.1095653247774139E-4</v>
      </c>
    </row>
    <row r="23" spans="1:17" x14ac:dyDescent="0.35">
      <c r="A23" s="4" t="s">
        <v>91</v>
      </c>
      <c r="B23" s="4" t="s">
        <v>66</v>
      </c>
      <c r="C23" s="4" t="s">
        <v>20</v>
      </c>
      <c r="D23" s="4">
        <v>300</v>
      </c>
      <c r="E23" s="4" t="s">
        <v>10</v>
      </c>
      <c r="F23" s="4" t="s">
        <v>116</v>
      </c>
      <c r="G23" s="4" t="s">
        <v>21</v>
      </c>
      <c r="H23" s="4">
        <v>25.29</v>
      </c>
      <c r="I23" s="4" t="s">
        <v>22</v>
      </c>
      <c r="J23" s="4" t="s">
        <v>1</v>
      </c>
      <c r="K23" s="4">
        <v>6.6</v>
      </c>
      <c r="L23" s="7">
        <f t="shared" si="0"/>
        <v>3.831818181818182</v>
      </c>
      <c r="M23" s="9">
        <v>0.11904761904761905</v>
      </c>
      <c r="N23" s="5">
        <f t="shared" si="3"/>
        <v>0.11904761904761905</v>
      </c>
      <c r="O23" s="3">
        <f t="shared" si="1"/>
        <v>3.7127705627705629</v>
      </c>
      <c r="P23" s="8">
        <v>12</v>
      </c>
      <c r="Q23" s="7">
        <f t="shared" si="2"/>
        <v>0.30939754689754689</v>
      </c>
    </row>
    <row r="24" spans="1:17" x14ac:dyDescent="0.35">
      <c r="A24" s="4" t="s">
        <v>91</v>
      </c>
      <c r="B24" s="4" t="s">
        <v>66</v>
      </c>
      <c r="C24" s="4" t="s">
        <v>20</v>
      </c>
      <c r="D24" s="4">
        <v>300</v>
      </c>
      <c r="E24" s="4" t="s">
        <v>10</v>
      </c>
      <c r="F24" s="4" t="s">
        <v>116</v>
      </c>
      <c r="G24" s="4" t="s">
        <v>0</v>
      </c>
      <c r="H24" s="4">
        <v>2.2400000000000002</v>
      </c>
      <c r="I24" s="4" t="s">
        <v>61</v>
      </c>
      <c r="J24" s="4" t="s">
        <v>1</v>
      </c>
      <c r="K24" s="4">
        <v>6.6</v>
      </c>
      <c r="L24" s="7">
        <f t="shared" si="0"/>
        <v>0.33939393939393947</v>
      </c>
      <c r="M24" s="9">
        <v>-0.18452380952380953</v>
      </c>
      <c r="N24" s="5">
        <f t="shared" si="3"/>
        <v>0</v>
      </c>
      <c r="O24" s="3">
        <f t="shared" si="1"/>
        <v>0.33939393939393947</v>
      </c>
      <c r="P24" s="8">
        <v>14</v>
      </c>
      <c r="Q24" s="7">
        <f t="shared" si="2"/>
        <v>2.4242424242424249E-2</v>
      </c>
    </row>
    <row r="25" spans="1:17" x14ac:dyDescent="0.35">
      <c r="A25" s="4" t="s">
        <v>91</v>
      </c>
      <c r="B25" s="4" t="s">
        <v>66</v>
      </c>
      <c r="C25" s="4" t="s">
        <v>20</v>
      </c>
      <c r="D25" s="4">
        <v>300</v>
      </c>
      <c r="E25" s="4" t="s">
        <v>10</v>
      </c>
      <c r="F25" s="4" t="s">
        <v>116</v>
      </c>
      <c r="G25" s="4" t="s">
        <v>62</v>
      </c>
      <c r="H25" s="4">
        <v>0.34</v>
      </c>
      <c r="I25" s="4" t="s">
        <v>63</v>
      </c>
      <c r="J25" s="4" t="s">
        <v>1</v>
      </c>
      <c r="K25" s="4">
        <v>6.6</v>
      </c>
      <c r="L25" s="7">
        <f t="shared" si="0"/>
        <v>5.1515151515151521E-2</v>
      </c>
      <c r="M25" s="9">
        <v>2.3809523809523812E-2</v>
      </c>
      <c r="N25" s="5">
        <f t="shared" si="3"/>
        <v>2.3809523809523812E-2</v>
      </c>
      <c r="O25" s="3">
        <f t="shared" si="1"/>
        <v>2.7705627705627709E-2</v>
      </c>
      <c r="P25" s="8">
        <v>31</v>
      </c>
      <c r="Q25" s="7">
        <f t="shared" si="2"/>
        <v>8.9372992598799061E-4</v>
      </c>
    </row>
    <row r="26" spans="1:17" x14ac:dyDescent="0.35">
      <c r="A26" s="4" t="s">
        <v>91</v>
      </c>
      <c r="B26" s="4" t="s">
        <v>66</v>
      </c>
      <c r="C26" s="4" t="s">
        <v>20</v>
      </c>
      <c r="D26" s="4">
        <v>300</v>
      </c>
      <c r="E26" s="4" t="s">
        <v>10</v>
      </c>
      <c r="F26" s="4" t="s">
        <v>116</v>
      </c>
      <c r="G26" s="4" t="s">
        <v>21</v>
      </c>
      <c r="H26" s="4">
        <v>16.47</v>
      </c>
      <c r="I26" s="4" t="s">
        <v>22</v>
      </c>
      <c r="J26" s="4" t="s">
        <v>1</v>
      </c>
      <c r="K26" s="4">
        <v>12.07</v>
      </c>
      <c r="L26" s="7">
        <f t="shared" si="0"/>
        <v>1.3645401822700911</v>
      </c>
      <c r="M26" s="9">
        <v>0.11904761904761905</v>
      </c>
      <c r="N26" s="5">
        <f t="shared" si="3"/>
        <v>0.11904761904761905</v>
      </c>
      <c r="O26" s="3">
        <f t="shared" si="1"/>
        <v>1.245492563222472</v>
      </c>
      <c r="P26" s="8">
        <v>12</v>
      </c>
      <c r="Q26" s="7">
        <f t="shared" si="2"/>
        <v>0.10379104693520601</v>
      </c>
    </row>
    <row r="27" spans="1:17" x14ac:dyDescent="0.35">
      <c r="A27" s="4" t="s">
        <v>91</v>
      </c>
      <c r="B27" s="4" t="s">
        <v>66</v>
      </c>
      <c r="C27" s="4" t="s">
        <v>20</v>
      </c>
      <c r="D27" s="4">
        <v>300</v>
      </c>
      <c r="E27" s="4" t="s">
        <v>10</v>
      </c>
      <c r="F27" s="4" t="s">
        <v>116</v>
      </c>
      <c r="G27" s="4" t="s">
        <v>0</v>
      </c>
      <c r="H27" s="4">
        <v>0.66</v>
      </c>
      <c r="I27" s="4" t="s">
        <v>61</v>
      </c>
      <c r="J27" s="4" t="s">
        <v>1</v>
      </c>
      <c r="K27" s="4">
        <v>12.07</v>
      </c>
      <c r="L27" s="7">
        <f t="shared" si="0"/>
        <v>5.4681027340513673E-2</v>
      </c>
      <c r="M27" s="9">
        <v>-0.18452380952380953</v>
      </c>
      <c r="N27" s="5">
        <f t="shared" si="3"/>
        <v>0</v>
      </c>
      <c r="O27" s="3">
        <f t="shared" si="1"/>
        <v>5.4681027340513673E-2</v>
      </c>
      <c r="P27" s="8">
        <v>14</v>
      </c>
      <c r="Q27" s="7">
        <f t="shared" si="2"/>
        <v>3.9057876671795481E-3</v>
      </c>
    </row>
    <row r="28" spans="1:17" x14ac:dyDescent="0.35">
      <c r="A28" s="4" t="s">
        <v>91</v>
      </c>
      <c r="B28" s="4" t="s">
        <v>66</v>
      </c>
      <c r="C28" s="4" t="s">
        <v>20</v>
      </c>
      <c r="D28" s="4">
        <v>300</v>
      </c>
      <c r="E28" s="4" t="s">
        <v>10</v>
      </c>
      <c r="F28" s="4" t="s">
        <v>116</v>
      </c>
      <c r="G28" s="4" t="s">
        <v>62</v>
      </c>
      <c r="H28" s="4">
        <v>0.17</v>
      </c>
      <c r="I28" s="4" t="s">
        <v>63</v>
      </c>
      <c r="J28" s="4" t="s">
        <v>1</v>
      </c>
      <c r="K28" s="4">
        <v>12.07</v>
      </c>
      <c r="L28" s="7">
        <f t="shared" si="0"/>
        <v>1.4084507042253521E-2</v>
      </c>
      <c r="M28" s="9">
        <v>2.3809523809523812E-2</v>
      </c>
      <c r="N28" s="5">
        <f t="shared" si="3"/>
        <v>2.3809523809523812E-2</v>
      </c>
      <c r="O28" s="3">
        <f t="shared" si="1"/>
        <v>-9.7250167672702902E-3</v>
      </c>
      <c r="P28" s="8">
        <v>31</v>
      </c>
      <c r="Q28" s="7">
        <f t="shared" si="2"/>
        <v>-3.1371021829904163E-4</v>
      </c>
    </row>
    <row r="29" spans="1:17" x14ac:dyDescent="0.35">
      <c r="A29" s="4" t="s">
        <v>65</v>
      </c>
      <c r="B29" s="4" t="s">
        <v>66</v>
      </c>
      <c r="C29" s="4" t="s">
        <v>20</v>
      </c>
      <c r="D29" s="4">
        <v>300</v>
      </c>
      <c r="E29" s="4" t="s">
        <v>10</v>
      </c>
      <c r="F29" s="4" t="s">
        <v>114</v>
      </c>
      <c r="G29" s="4" t="s">
        <v>21</v>
      </c>
      <c r="H29" s="4">
        <v>14.4</v>
      </c>
      <c r="I29" s="4" t="s">
        <v>22</v>
      </c>
      <c r="J29" s="4" t="s">
        <v>1</v>
      </c>
      <c r="K29" s="4">
        <v>7.53</v>
      </c>
      <c r="L29" s="7">
        <f t="shared" si="0"/>
        <v>1.9123505976095618</v>
      </c>
      <c r="M29" s="3">
        <v>0.11728395061728394</v>
      </c>
      <c r="N29" s="5">
        <f t="shared" si="3"/>
        <v>0.11728395061728394</v>
      </c>
      <c r="O29" s="3">
        <f t="shared" si="1"/>
        <v>1.7950666469922778</v>
      </c>
      <c r="P29" s="8">
        <v>12</v>
      </c>
      <c r="Q29" s="7">
        <f t="shared" si="2"/>
        <v>0.14958888724935648</v>
      </c>
    </row>
    <row r="30" spans="1:17" x14ac:dyDescent="0.35">
      <c r="A30" s="4" t="s">
        <v>65</v>
      </c>
      <c r="B30" s="4" t="s">
        <v>66</v>
      </c>
      <c r="C30" s="4" t="s">
        <v>20</v>
      </c>
      <c r="D30" s="4">
        <v>300</v>
      </c>
      <c r="E30" s="4" t="s">
        <v>10</v>
      </c>
      <c r="F30" s="4" t="s">
        <v>114</v>
      </c>
      <c r="G30" s="4" t="s">
        <v>0</v>
      </c>
      <c r="H30" s="4">
        <v>1.54</v>
      </c>
      <c r="I30" s="4" t="s">
        <v>61</v>
      </c>
      <c r="J30" s="4" t="s">
        <v>1</v>
      </c>
      <c r="K30" s="4">
        <v>7.53</v>
      </c>
      <c r="L30" s="7">
        <f t="shared" si="0"/>
        <v>0.20451527224435589</v>
      </c>
      <c r="M30" s="3">
        <v>1.5432098765432098E-2</v>
      </c>
      <c r="N30" s="5">
        <f t="shared" si="3"/>
        <v>1.5432098765432098E-2</v>
      </c>
      <c r="O30" s="3">
        <f t="shared" si="1"/>
        <v>0.18908317347892378</v>
      </c>
      <c r="P30" s="8">
        <v>14</v>
      </c>
      <c r="Q30" s="7">
        <f t="shared" si="2"/>
        <v>1.350594096278027E-2</v>
      </c>
    </row>
    <row r="31" spans="1:17" x14ac:dyDescent="0.35">
      <c r="A31" s="4" t="s">
        <v>65</v>
      </c>
      <c r="B31" s="4" t="s">
        <v>66</v>
      </c>
      <c r="C31" s="4" t="s">
        <v>20</v>
      </c>
      <c r="D31" s="4">
        <v>300</v>
      </c>
      <c r="E31" s="4" t="s">
        <v>10</v>
      </c>
      <c r="F31" s="4" t="s">
        <v>114</v>
      </c>
      <c r="G31" s="4" t="s">
        <v>62</v>
      </c>
      <c r="H31" s="4">
        <v>0.3</v>
      </c>
      <c r="I31" s="4" t="s">
        <v>63</v>
      </c>
      <c r="J31" s="4" t="s">
        <v>1</v>
      </c>
      <c r="K31" s="4">
        <v>7.53</v>
      </c>
      <c r="L31" s="7">
        <f t="shared" si="0"/>
        <v>3.9840637450199202E-2</v>
      </c>
      <c r="M31" s="3">
        <v>1.080246913580247E-2</v>
      </c>
      <c r="N31" s="5">
        <f t="shared" si="3"/>
        <v>1.080246913580247E-2</v>
      </c>
      <c r="O31" s="3">
        <f t="shared" si="1"/>
        <v>2.9038168314396734E-2</v>
      </c>
      <c r="P31" s="8">
        <v>31</v>
      </c>
      <c r="Q31" s="7">
        <f t="shared" si="2"/>
        <v>9.3671510691602363E-4</v>
      </c>
    </row>
    <row r="32" spans="1:17" x14ac:dyDescent="0.35">
      <c r="A32" s="4" t="s">
        <v>65</v>
      </c>
      <c r="B32" s="4" t="s">
        <v>66</v>
      </c>
      <c r="C32" s="4" t="s">
        <v>20</v>
      </c>
      <c r="D32" s="4">
        <v>300</v>
      </c>
      <c r="E32" s="4" t="s">
        <v>10</v>
      </c>
      <c r="F32" s="4" t="s">
        <v>114</v>
      </c>
      <c r="G32" s="4" t="s">
        <v>21</v>
      </c>
      <c r="H32" s="4">
        <v>18.079999999999998</v>
      </c>
      <c r="I32" s="4" t="s">
        <v>22</v>
      </c>
      <c r="J32" s="4" t="s">
        <v>1</v>
      </c>
      <c r="K32" s="4">
        <v>10.18</v>
      </c>
      <c r="L32" s="7">
        <f t="shared" si="0"/>
        <v>1.7760314341846757</v>
      </c>
      <c r="M32" s="9">
        <v>0.11728395061728394</v>
      </c>
      <c r="N32" s="5">
        <f t="shared" si="3"/>
        <v>0.11728395061728394</v>
      </c>
      <c r="O32" s="3">
        <f t="shared" si="1"/>
        <v>1.6587474835673917</v>
      </c>
      <c r="P32" s="8">
        <v>12</v>
      </c>
      <c r="Q32" s="7">
        <f t="shared" si="2"/>
        <v>0.1382289569639493</v>
      </c>
    </row>
    <row r="33" spans="1:17" x14ac:dyDescent="0.35">
      <c r="A33" s="4" t="s">
        <v>65</v>
      </c>
      <c r="B33" s="4" t="s">
        <v>66</v>
      </c>
      <c r="C33" s="4" t="s">
        <v>20</v>
      </c>
      <c r="D33" s="4">
        <v>300</v>
      </c>
      <c r="E33" s="4" t="s">
        <v>10</v>
      </c>
      <c r="F33" s="4" t="s">
        <v>114</v>
      </c>
      <c r="G33" s="4" t="s">
        <v>0</v>
      </c>
      <c r="H33" s="4">
        <v>1.66</v>
      </c>
      <c r="I33" s="4" t="s">
        <v>61</v>
      </c>
      <c r="J33" s="4" t="s">
        <v>1</v>
      </c>
      <c r="K33" s="4">
        <v>10.18</v>
      </c>
      <c r="L33" s="7">
        <f t="shared" si="0"/>
        <v>0.16306483300589392</v>
      </c>
      <c r="M33" s="9">
        <v>1.5432098765432098E-2</v>
      </c>
      <c r="N33" s="5">
        <f t="shared" si="3"/>
        <v>1.5432098765432098E-2</v>
      </c>
      <c r="O33" s="3">
        <f t="shared" si="1"/>
        <v>0.1476327342404618</v>
      </c>
      <c r="P33" s="8">
        <v>14</v>
      </c>
      <c r="Q33" s="7">
        <f t="shared" si="2"/>
        <v>1.0545195302890128E-2</v>
      </c>
    </row>
    <row r="34" spans="1:17" x14ac:dyDescent="0.35">
      <c r="A34" s="4" t="s">
        <v>65</v>
      </c>
      <c r="B34" s="4" t="s">
        <v>66</v>
      </c>
      <c r="C34" s="4" t="s">
        <v>20</v>
      </c>
      <c r="D34" s="4">
        <v>300</v>
      </c>
      <c r="E34" s="4" t="s">
        <v>10</v>
      </c>
      <c r="F34" s="4" t="s">
        <v>114</v>
      </c>
      <c r="G34" s="4" t="s">
        <v>62</v>
      </c>
      <c r="H34" s="4">
        <v>0.27</v>
      </c>
      <c r="I34" s="4" t="s">
        <v>63</v>
      </c>
      <c r="J34" s="4" t="s">
        <v>1</v>
      </c>
      <c r="K34" s="4">
        <v>10.18</v>
      </c>
      <c r="L34" s="7">
        <f t="shared" si="0"/>
        <v>2.6522593320235759E-2</v>
      </c>
      <c r="M34" s="9">
        <v>1.080246913580247E-2</v>
      </c>
      <c r="N34" s="5">
        <f t="shared" si="3"/>
        <v>1.080246913580247E-2</v>
      </c>
      <c r="O34" s="3">
        <f t="shared" si="1"/>
        <v>1.572012418443329E-2</v>
      </c>
      <c r="P34" s="8">
        <v>31</v>
      </c>
      <c r="Q34" s="7">
        <f t="shared" si="2"/>
        <v>5.0710078014300935E-4</v>
      </c>
    </row>
    <row r="35" spans="1:17" x14ac:dyDescent="0.35">
      <c r="A35" s="4" t="s">
        <v>67</v>
      </c>
      <c r="B35" s="4" t="s">
        <v>66</v>
      </c>
      <c r="C35" s="4" t="s">
        <v>20</v>
      </c>
      <c r="D35" s="4">
        <v>300</v>
      </c>
      <c r="E35" s="4" t="s">
        <v>10</v>
      </c>
      <c r="F35" s="4" t="s">
        <v>114</v>
      </c>
      <c r="G35" s="4" t="s">
        <v>21</v>
      </c>
      <c r="H35" s="4">
        <v>36.44</v>
      </c>
      <c r="I35" s="4" t="s">
        <v>22</v>
      </c>
      <c r="J35" s="4" t="s">
        <v>1</v>
      </c>
      <c r="K35" s="4">
        <v>7.36</v>
      </c>
      <c r="L35" s="7">
        <f t="shared" si="0"/>
        <v>4.9510869565217384</v>
      </c>
      <c r="M35" s="9">
        <v>9.4420600858369105E-2</v>
      </c>
      <c r="N35" s="5">
        <f t="shared" si="3"/>
        <v>9.4420600858369105E-2</v>
      </c>
      <c r="O35" s="3">
        <f t="shared" si="1"/>
        <v>4.8566663556633696</v>
      </c>
      <c r="P35" s="8">
        <v>12</v>
      </c>
      <c r="Q35" s="7">
        <f t="shared" si="2"/>
        <v>0.40472219630528078</v>
      </c>
    </row>
    <row r="36" spans="1:17" x14ac:dyDescent="0.35">
      <c r="A36" s="4" t="s">
        <v>67</v>
      </c>
      <c r="B36" s="4" t="s">
        <v>66</v>
      </c>
      <c r="C36" s="4" t="s">
        <v>20</v>
      </c>
      <c r="D36" s="4">
        <v>300</v>
      </c>
      <c r="E36" s="4" t="s">
        <v>10</v>
      </c>
      <c r="F36" s="4" t="s">
        <v>114</v>
      </c>
      <c r="G36" s="4" t="s">
        <v>0</v>
      </c>
      <c r="H36" s="4">
        <v>3.97</v>
      </c>
      <c r="I36" s="4" t="s">
        <v>61</v>
      </c>
      <c r="J36" s="4" t="s">
        <v>1</v>
      </c>
      <c r="K36" s="4">
        <v>7.36</v>
      </c>
      <c r="L36" s="7">
        <f t="shared" si="0"/>
        <v>0.53940217391304346</v>
      </c>
      <c r="M36" s="9">
        <v>-0.11015736766809728</v>
      </c>
      <c r="N36" s="5">
        <f t="shared" si="3"/>
        <v>0</v>
      </c>
      <c r="O36" s="3">
        <f t="shared" si="1"/>
        <v>0.53940217391304346</v>
      </c>
      <c r="P36" s="8">
        <v>14</v>
      </c>
      <c r="Q36" s="7">
        <f t="shared" si="2"/>
        <v>3.8528726708074536E-2</v>
      </c>
    </row>
    <row r="37" spans="1:17" x14ac:dyDescent="0.35">
      <c r="A37" s="4" t="s">
        <v>67</v>
      </c>
      <c r="B37" s="4" t="s">
        <v>66</v>
      </c>
      <c r="C37" s="4" t="s">
        <v>20</v>
      </c>
      <c r="D37" s="4">
        <v>300</v>
      </c>
      <c r="E37" s="4" t="s">
        <v>10</v>
      </c>
      <c r="F37" s="4" t="s">
        <v>114</v>
      </c>
      <c r="G37" s="4" t="s">
        <v>62</v>
      </c>
      <c r="H37" s="4">
        <v>0.18</v>
      </c>
      <c r="I37" s="4" t="s">
        <v>63</v>
      </c>
      <c r="J37" s="4" t="s">
        <v>1</v>
      </c>
      <c r="K37" s="4">
        <v>7.36</v>
      </c>
      <c r="L37" s="7">
        <f t="shared" si="0"/>
        <v>2.4456521739130432E-2</v>
      </c>
      <c r="M37" s="9">
        <v>0</v>
      </c>
      <c r="N37" s="5">
        <f t="shared" si="3"/>
        <v>0</v>
      </c>
      <c r="O37" s="3">
        <f t="shared" si="1"/>
        <v>2.4456521739130432E-2</v>
      </c>
      <c r="P37" s="8">
        <v>31</v>
      </c>
      <c r="Q37" s="7">
        <f t="shared" si="2"/>
        <v>7.8892005610098164E-4</v>
      </c>
    </row>
    <row r="38" spans="1:17" x14ac:dyDescent="0.35">
      <c r="A38" s="4" t="s">
        <v>67</v>
      </c>
      <c r="B38" s="4" t="s">
        <v>66</v>
      </c>
      <c r="C38" s="4" t="s">
        <v>20</v>
      </c>
      <c r="D38" s="4">
        <v>300</v>
      </c>
      <c r="E38" s="4" t="s">
        <v>10</v>
      </c>
      <c r="F38" s="4" t="s">
        <v>114</v>
      </c>
      <c r="G38" s="4" t="s">
        <v>21</v>
      </c>
      <c r="H38" s="4">
        <v>36.42</v>
      </c>
      <c r="I38" s="4" t="s">
        <v>22</v>
      </c>
      <c r="J38" s="4" t="s">
        <v>1</v>
      </c>
      <c r="K38" s="4">
        <v>6.09</v>
      </c>
      <c r="L38" s="7">
        <f t="shared" si="0"/>
        <v>5.9802955665024635</v>
      </c>
      <c r="M38" s="9">
        <v>9.4420600858369105E-2</v>
      </c>
      <c r="N38" s="5">
        <f t="shared" si="3"/>
        <v>9.4420600858369105E-2</v>
      </c>
      <c r="O38" s="3">
        <f t="shared" si="1"/>
        <v>5.8858749656440947</v>
      </c>
      <c r="P38" s="8">
        <v>12</v>
      </c>
      <c r="Q38" s="7">
        <f t="shared" si="2"/>
        <v>0.49048958047034125</v>
      </c>
    </row>
    <row r="39" spans="1:17" x14ac:dyDescent="0.35">
      <c r="A39" s="4" t="s">
        <v>67</v>
      </c>
      <c r="B39" s="4" t="s">
        <v>66</v>
      </c>
      <c r="C39" s="4" t="s">
        <v>20</v>
      </c>
      <c r="D39" s="4">
        <v>300</v>
      </c>
      <c r="E39" s="4" t="s">
        <v>10</v>
      </c>
      <c r="F39" s="4" t="s">
        <v>114</v>
      </c>
      <c r="G39" s="4" t="s">
        <v>0</v>
      </c>
      <c r="H39" s="4">
        <v>5.14</v>
      </c>
      <c r="I39" s="4" t="s">
        <v>61</v>
      </c>
      <c r="J39" s="4" t="s">
        <v>1</v>
      </c>
      <c r="K39" s="4">
        <v>6.09</v>
      </c>
      <c r="L39" s="7">
        <f t="shared" si="0"/>
        <v>0.84400656814449915</v>
      </c>
      <c r="M39" s="9">
        <v>-0.11015736766809728</v>
      </c>
      <c r="N39" s="5">
        <f t="shared" si="3"/>
        <v>0</v>
      </c>
      <c r="O39" s="3">
        <f t="shared" si="1"/>
        <v>0.84400656814449915</v>
      </c>
      <c r="P39" s="8">
        <v>14</v>
      </c>
      <c r="Q39" s="7">
        <f t="shared" si="2"/>
        <v>6.0286183438892797E-2</v>
      </c>
    </row>
    <row r="40" spans="1:17" x14ac:dyDescent="0.35">
      <c r="A40" s="4" t="s">
        <v>67</v>
      </c>
      <c r="B40" s="4" t="s">
        <v>66</v>
      </c>
      <c r="C40" s="4" t="s">
        <v>20</v>
      </c>
      <c r="D40" s="4">
        <v>300</v>
      </c>
      <c r="E40" s="4" t="s">
        <v>10</v>
      </c>
      <c r="F40" s="4" t="s">
        <v>114</v>
      </c>
      <c r="G40" s="4" t="s">
        <v>62</v>
      </c>
      <c r="H40" s="4">
        <v>0.31</v>
      </c>
      <c r="I40" s="4" t="s">
        <v>63</v>
      </c>
      <c r="J40" s="4" t="s">
        <v>1</v>
      </c>
      <c r="K40" s="4">
        <v>6.09</v>
      </c>
      <c r="L40" s="7">
        <f t="shared" si="0"/>
        <v>5.090311986863711E-2</v>
      </c>
      <c r="M40" s="9">
        <v>0</v>
      </c>
      <c r="N40" s="5">
        <f t="shared" si="3"/>
        <v>0</v>
      </c>
      <c r="O40" s="3">
        <f t="shared" si="1"/>
        <v>5.090311986863711E-2</v>
      </c>
      <c r="P40" s="8">
        <v>31</v>
      </c>
      <c r="Q40" s="7">
        <f t="shared" si="2"/>
        <v>1.6420361247947454E-3</v>
      </c>
    </row>
    <row r="41" spans="1:17" x14ac:dyDescent="0.35">
      <c r="A41" s="4" t="s">
        <v>67</v>
      </c>
      <c r="B41" s="4" t="s">
        <v>66</v>
      </c>
      <c r="C41" s="4" t="s">
        <v>20</v>
      </c>
      <c r="D41" s="4">
        <v>300</v>
      </c>
      <c r="E41" s="4" t="s">
        <v>10</v>
      </c>
      <c r="F41" s="4" t="s">
        <v>114</v>
      </c>
      <c r="G41" s="4" t="s">
        <v>21</v>
      </c>
      <c r="H41" s="4">
        <v>43.51</v>
      </c>
      <c r="I41" s="4" t="s">
        <v>22</v>
      </c>
      <c r="J41" s="4" t="s">
        <v>1</v>
      </c>
      <c r="K41" s="4">
        <v>5.53</v>
      </c>
      <c r="L41" s="7">
        <f t="shared" si="0"/>
        <v>7.8679927667269434</v>
      </c>
      <c r="M41" s="9">
        <v>9.4420600858369105E-2</v>
      </c>
      <c r="N41" s="5">
        <f t="shared" si="3"/>
        <v>9.4420600858369105E-2</v>
      </c>
      <c r="O41" s="3">
        <f t="shared" si="1"/>
        <v>7.7735721658685746</v>
      </c>
      <c r="P41" s="8">
        <v>12</v>
      </c>
      <c r="Q41" s="7">
        <f t="shared" si="2"/>
        <v>0.64779768048904784</v>
      </c>
    </row>
    <row r="42" spans="1:17" x14ac:dyDescent="0.35">
      <c r="A42" s="4" t="s">
        <v>67</v>
      </c>
      <c r="B42" s="4" t="s">
        <v>66</v>
      </c>
      <c r="C42" s="4" t="s">
        <v>20</v>
      </c>
      <c r="D42" s="4">
        <v>300</v>
      </c>
      <c r="E42" s="4" t="s">
        <v>10</v>
      </c>
      <c r="F42" s="4" t="s">
        <v>114</v>
      </c>
      <c r="G42" s="4" t="s">
        <v>0</v>
      </c>
      <c r="H42" s="4">
        <v>6.8</v>
      </c>
      <c r="I42" s="4" t="s">
        <v>61</v>
      </c>
      <c r="J42" s="4" t="s">
        <v>1</v>
      </c>
      <c r="K42" s="4">
        <v>5.53</v>
      </c>
      <c r="L42" s="7">
        <f t="shared" si="0"/>
        <v>1.2296564195298372</v>
      </c>
      <c r="M42" s="9">
        <v>-0.11015736766809728</v>
      </c>
      <c r="N42" s="5">
        <f t="shared" si="3"/>
        <v>0</v>
      </c>
      <c r="O42" s="3">
        <f t="shared" si="1"/>
        <v>1.2296564195298372</v>
      </c>
      <c r="P42" s="8">
        <v>14</v>
      </c>
      <c r="Q42" s="7">
        <f t="shared" si="2"/>
        <v>8.7832601394988372E-2</v>
      </c>
    </row>
    <row r="43" spans="1:17" x14ac:dyDescent="0.35">
      <c r="A43" s="4" t="s">
        <v>67</v>
      </c>
      <c r="B43" s="4" t="s">
        <v>66</v>
      </c>
      <c r="C43" s="4" t="s">
        <v>20</v>
      </c>
      <c r="D43" s="4">
        <v>300</v>
      </c>
      <c r="E43" s="4" t="s">
        <v>10</v>
      </c>
      <c r="F43" s="4" t="s">
        <v>114</v>
      </c>
      <c r="G43" s="4" t="s">
        <v>62</v>
      </c>
      <c r="H43" s="4">
        <v>0.36</v>
      </c>
      <c r="I43" s="4" t="s">
        <v>63</v>
      </c>
      <c r="J43" s="4" t="s">
        <v>1</v>
      </c>
      <c r="K43" s="4">
        <v>5.53</v>
      </c>
      <c r="L43" s="7">
        <f t="shared" si="0"/>
        <v>6.5099457504520786E-2</v>
      </c>
      <c r="M43" s="9">
        <v>0</v>
      </c>
      <c r="N43" s="5">
        <f t="shared" si="3"/>
        <v>0</v>
      </c>
      <c r="O43" s="3">
        <f t="shared" si="1"/>
        <v>6.5099457504520786E-2</v>
      </c>
      <c r="P43" s="8">
        <v>31</v>
      </c>
      <c r="Q43" s="7">
        <f t="shared" si="2"/>
        <v>2.0999825001458317E-3</v>
      </c>
    </row>
    <row r="44" spans="1:17" x14ac:dyDescent="0.35">
      <c r="A44" s="4" t="s">
        <v>68</v>
      </c>
      <c r="B44" s="4" t="s">
        <v>66</v>
      </c>
      <c r="C44" s="4" t="s">
        <v>20</v>
      </c>
      <c r="D44" s="4">
        <v>300</v>
      </c>
      <c r="E44" s="4" t="s">
        <v>10</v>
      </c>
      <c r="F44" s="4" t="s">
        <v>114</v>
      </c>
      <c r="G44" s="4" t="s">
        <v>21</v>
      </c>
      <c r="H44" s="4">
        <v>25.67</v>
      </c>
      <c r="I44" s="4" t="s">
        <v>22</v>
      </c>
      <c r="J44" s="4" t="s">
        <v>1</v>
      </c>
      <c r="K44" s="4">
        <v>8.5500000000000007</v>
      </c>
      <c r="L44" s="7">
        <f t="shared" si="0"/>
        <v>3.0023391812865499</v>
      </c>
      <c r="M44" s="9">
        <v>0.39060205580029372</v>
      </c>
      <c r="N44" s="5">
        <f t="shared" si="3"/>
        <v>0.39060205580029372</v>
      </c>
      <c r="O44" s="3">
        <f t="shared" si="1"/>
        <v>2.6117371254862563</v>
      </c>
      <c r="P44" s="8">
        <v>12</v>
      </c>
      <c r="Q44" s="7">
        <f t="shared" si="2"/>
        <v>0.21764476045718803</v>
      </c>
    </row>
    <row r="45" spans="1:17" x14ac:dyDescent="0.35">
      <c r="A45" s="4" t="s">
        <v>68</v>
      </c>
      <c r="B45" s="4" t="s">
        <v>66</v>
      </c>
      <c r="C45" s="4" t="s">
        <v>20</v>
      </c>
      <c r="D45" s="4">
        <v>300</v>
      </c>
      <c r="E45" s="4" t="s">
        <v>10</v>
      </c>
      <c r="F45" s="4" t="s">
        <v>114</v>
      </c>
      <c r="G45" s="4" t="s">
        <v>0</v>
      </c>
      <c r="H45" s="4">
        <v>2.75</v>
      </c>
      <c r="I45" s="4" t="s">
        <v>61</v>
      </c>
      <c r="J45" s="4" t="s">
        <v>1</v>
      </c>
      <c r="K45" s="4">
        <v>8.5500000000000007</v>
      </c>
      <c r="L45" s="7">
        <f t="shared" si="0"/>
        <v>0.32163742690058478</v>
      </c>
      <c r="M45" s="9">
        <v>-7.9295154185022032E-2</v>
      </c>
      <c r="N45" s="5">
        <f t="shared" si="3"/>
        <v>0</v>
      </c>
      <c r="O45" s="3">
        <f t="shared" si="1"/>
        <v>0.32163742690058478</v>
      </c>
      <c r="P45" s="8">
        <v>14</v>
      </c>
      <c r="Q45" s="7">
        <f t="shared" si="2"/>
        <v>2.2974101921470341E-2</v>
      </c>
    </row>
    <row r="46" spans="1:17" x14ac:dyDescent="0.35">
      <c r="A46" s="4" t="s">
        <v>68</v>
      </c>
      <c r="B46" s="4" t="s">
        <v>66</v>
      </c>
      <c r="C46" s="4" t="s">
        <v>20</v>
      </c>
      <c r="D46" s="4">
        <v>300</v>
      </c>
      <c r="E46" s="4" t="s">
        <v>10</v>
      </c>
      <c r="F46" s="4" t="s">
        <v>114</v>
      </c>
      <c r="G46" s="4" t="s">
        <v>62</v>
      </c>
      <c r="H46" s="4">
        <v>-7.0000000000000007E-2</v>
      </c>
      <c r="I46" s="4" t="s">
        <v>63</v>
      </c>
      <c r="J46" s="4" t="s">
        <v>1</v>
      </c>
      <c r="K46" s="4">
        <v>8.5500000000000007</v>
      </c>
      <c r="L46" s="7">
        <f t="shared" si="0"/>
        <v>-8.1871345029239772E-3</v>
      </c>
      <c r="M46" s="9">
        <v>8.8105726872246704E-3</v>
      </c>
      <c r="N46" s="5">
        <f t="shared" si="3"/>
        <v>8.8105726872246704E-3</v>
      </c>
      <c r="O46" s="3">
        <f t="shared" si="1"/>
        <v>-1.6997707190148648E-2</v>
      </c>
      <c r="P46" s="8">
        <v>31</v>
      </c>
      <c r="Q46" s="7">
        <f t="shared" si="2"/>
        <v>-5.4831313516608539E-4</v>
      </c>
    </row>
    <row r="47" spans="1:17" x14ac:dyDescent="0.35">
      <c r="A47" s="4" t="s">
        <v>68</v>
      </c>
      <c r="B47" s="4" t="s">
        <v>66</v>
      </c>
      <c r="C47" s="4" t="s">
        <v>20</v>
      </c>
      <c r="D47" s="4">
        <v>300</v>
      </c>
      <c r="E47" s="4" t="s">
        <v>10</v>
      </c>
      <c r="F47" s="4" t="s">
        <v>114</v>
      </c>
      <c r="G47" s="4" t="s">
        <v>21</v>
      </c>
      <c r="H47" s="4">
        <v>39.85</v>
      </c>
      <c r="I47" s="4" t="s">
        <v>22</v>
      </c>
      <c r="J47" s="4" t="s">
        <v>1</v>
      </c>
      <c r="K47" s="4">
        <v>6.83</v>
      </c>
      <c r="L47" s="7">
        <f t="shared" si="0"/>
        <v>5.8345534407027824</v>
      </c>
      <c r="M47" s="9">
        <v>0.39060205580029372</v>
      </c>
      <c r="N47" s="5">
        <f t="shared" si="3"/>
        <v>0.39060205580029372</v>
      </c>
      <c r="O47" s="3">
        <f t="shared" si="1"/>
        <v>5.4439513849024888</v>
      </c>
      <c r="P47" s="8">
        <v>12</v>
      </c>
      <c r="Q47" s="7">
        <f t="shared" si="2"/>
        <v>0.45366261540854075</v>
      </c>
    </row>
    <row r="48" spans="1:17" x14ac:dyDescent="0.35">
      <c r="A48" s="4" t="s">
        <v>68</v>
      </c>
      <c r="B48" s="4" t="s">
        <v>66</v>
      </c>
      <c r="C48" s="4" t="s">
        <v>20</v>
      </c>
      <c r="D48" s="4">
        <v>300</v>
      </c>
      <c r="E48" s="4" t="s">
        <v>10</v>
      </c>
      <c r="F48" s="4" t="s">
        <v>114</v>
      </c>
      <c r="G48" s="4" t="s">
        <v>0</v>
      </c>
      <c r="H48" s="4">
        <v>2.94</v>
      </c>
      <c r="I48" s="4" t="s">
        <v>61</v>
      </c>
      <c r="J48" s="4" t="s">
        <v>1</v>
      </c>
      <c r="K48" s="4">
        <v>6.83</v>
      </c>
      <c r="L48" s="7">
        <f t="shared" si="0"/>
        <v>0.43045387994143486</v>
      </c>
      <c r="M48" s="9">
        <v>-7.9295154185022032E-2</v>
      </c>
      <c r="N48" s="5">
        <f t="shared" si="3"/>
        <v>0</v>
      </c>
      <c r="O48" s="3">
        <f t="shared" si="1"/>
        <v>0.43045387994143486</v>
      </c>
      <c r="P48" s="8">
        <v>14</v>
      </c>
      <c r="Q48" s="7">
        <f t="shared" si="2"/>
        <v>3.074670571010249E-2</v>
      </c>
    </row>
    <row r="49" spans="1:17" x14ac:dyDescent="0.35">
      <c r="A49" s="4" t="s">
        <v>68</v>
      </c>
      <c r="B49" s="4" t="s">
        <v>66</v>
      </c>
      <c r="C49" s="4" t="s">
        <v>20</v>
      </c>
      <c r="D49" s="4">
        <v>300</v>
      </c>
      <c r="E49" s="4" t="s">
        <v>10</v>
      </c>
      <c r="F49" s="4" t="s">
        <v>114</v>
      </c>
      <c r="G49" s="4" t="s">
        <v>62</v>
      </c>
      <c r="H49" s="4">
        <v>7.0000000000000007E-2</v>
      </c>
      <c r="I49" s="4" t="s">
        <v>63</v>
      </c>
      <c r="J49" s="4" t="s">
        <v>1</v>
      </c>
      <c r="K49" s="4">
        <v>6.83</v>
      </c>
      <c r="L49" s="7">
        <f t="shared" si="0"/>
        <v>1.0248901903367497E-2</v>
      </c>
      <c r="M49" s="9">
        <v>8.8105726872246704E-3</v>
      </c>
      <c r="N49" s="5">
        <f t="shared" si="3"/>
        <v>8.8105726872246704E-3</v>
      </c>
      <c r="O49" s="3">
        <f t="shared" si="1"/>
        <v>1.4383292161428262E-3</v>
      </c>
      <c r="P49" s="8">
        <v>31</v>
      </c>
      <c r="Q49" s="7">
        <f t="shared" si="2"/>
        <v>4.6397716649768584E-5</v>
      </c>
    </row>
    <row r="50" spans="1:17" x14ac:dyDescent="0.35">
      <c r="A50" s="4" t="s">
        <v>69</v>
      </c>
      <c r="B50" s="4" t="s">
        <v>66</v>
      </c>
      <c r="C50" s="4" t="s">
        <v>20</v>
      </c>
      <c r="D50" s="4">
        <v>300</v>
      </c>
      <c r="E50" s="4" t="s">
        <v>10</v>
      </c>
      <c r="F50" s="4" t="s">
        <v>114</v>
      </c>
      <c r="G50" s="4" t="s">
        <v>21</v>
      </c>
      <c r="H50" s="4">
        <v>27.31</v>
      </c>
      <c r="I50" s="4" t="s">
        <v>22</v>
      </c>
      <c r="J50" s="4" t="s">
        <v>1</v>
      </c>
      <c r="K50" s="4">
        <v>7.01</v>
      </c>
      <c r="L50" s="7">
        <f t="shared" si="0"/>
        <v>3.8958630527817402</v>
      </c>
      <c r="M50" s="9">
        <v>0.19354838709677419</v>
      </c>
      <c r="N50" s="5">
        <f t="shared" si="3"/>
        <v>0.19354838709677419</v>
      </c>
      <c r="O50" s="3">
        <f t="shared" si="1"/>
        <v>3.7023146656849661</v>
      </c>
      <c r="P50" s="8">
        <v>12</v>
      </c>
      <c r="Q50" s="7">
        <f t="shared" si="2"/>
        <v>0.30852622214041386</v>
      </c>
    </row>
    <row r="51" spans="1:17" x14ac:dyDescent="0.35">
      <c r="A51" s="4" t="s">
        <v>69</v>
      </c>
      <c r="B51" s="4" t="s">
        <v>66</v>
      </c>
      <c r="C51" s="4" t="s">
        <v>20</v>
      </c>
      <c r="D51" s="4">
        <v>300</v>
      </c>
      <c r="E51" s="4" t="s">
        <v>10</v>
      </c>
      <c r="F51" s="4" t="s">
        <v>114</v>
      </c>
      <c r="G51" s="4" t="s">
        <v>0</v>
      </c>
      <c r="H51" s="4">
        <v>2.27</v>
      </c>
      <c r="I51" s="4" t="s">
        <v>61</v>
      </c>
      <c r="J51" s="4" t="s">
        <v>1</v>
      </c>
      <c r="K51" s="4">
        <v>7.01</v>
      </c>
      <c r="L51" s="7">
        <f t="shared" si="0"/>
        <v>0.32382310984308132</v>
      </c>
      <c r="M51" s="9">
        <v>-0.16715542521994134</v>
      </c>
      <c r="N51" s="5">
        <f t="shared" si="3"/>
        <v>0</v>
      </c>
      <c r="O51" s="3">
        <f t="shared" si="1"/>
        <v>0.32382310984308132</v>
      </c>
      <c r="P51" s="8">
        <v>14</v>
      </c>
      <c r="Q51" s="7">
        <f t="shared" si="2"/>
        <v>2.3130222131648667E-2</v>
      </c>
    </row>
    <row r="52" spans="1:17" x14ac:dyDescent="0.35">
      <c r="A52" s="4" t="s">
        <v>69</v>
      </c>
      <c r="B52" s="4" t="s">
        <v>66</v>
      </c>
      <c r="C52" s="4" t="s">
        <v>20</v>
      </c>
      <c r="D52" s="4">
        <v>300</v>
      </c>
      <c r="E52" s="4" t="s">
        <v>10</v>
      </c>
      <c r="F52" s="4" t="s">
        <v>114</v>
      </c>
      <c r="G52" s="4" t="s">
        <v>62</v>
      </c>
      <c r="H52" s="4">
        <v>0.84</v>
      </c>
      <c r="I52" s="4" t="s">
        <v>63</v>
      </c>
      <c r="J52" s="4" t="s">
        <v>1</v>
      </c>
      <c r="K52" s="4">
        <v>7.01</v>
      </c>
      <c r="L52" s="7">
        <f t="shared" si="0"/>
        <v>0.11982881597717546</v>
      </c>
      <c r="M52" s="9">
        <v>1.4662756598240469E-3</v>
      </c>
      <c r="N52" s="5">
        <f t="shared" si="3"/>
        <v>1.4662756598240469E-3</v>
      </c>
      <c r="O52" s="3">
        <f t="shared" si="1"/>
        <v>0.11836254031735141</v>
      </c>
      <c r="P52" s="8">
        <v>31</v>
      </c>
      <c r="Q52" s="7">
        <f t="shared" si="2"/>
        <v>3.8181464618500453E-3</v>
      </c>
    </row>
    <row r="53" spans="1:17" x14ac:dyDescent="0.35">
      <c r="A53" s="4" t="s">
        <v>69</v>
      </c>
      <c r="B53" s="4" t="s">
        <v>66</v>
      </c>
      <c r="C53" s="4" t="s">
        <v>20</v>
      </c>
      <c r="D53" s="4">
        <v>300</v>
      </c>
      <c r="E53" s="4" t="s">
        <v>10</v>
      </c>
      <c r="F53" s="4" t="s">
        <v>114</v>
      </c>
      <c r="G53" s="4" t="s">
        <v>21</v>
      </c>
      <c r="H53" s="4">
        <v>31.88</v>
      </c>
      <c r="I53" s="4" t="s">
        <v>22</v>
      </c>
      <c r="J53" s="4" t="s">
        <v>1</v>
      </c>
      <c r="K53" s="4">
        <v>7.1</v>
      </c>
      <c r="L53" s="7">
        <f t="shared" si="0"/>
        <v>4.4901408450704228</v>
      </c>
      <c r="M53" s="9">
        <v>0.19354838709677419</v>
      </c>
      <c r="N53" s="5">
        <f t="shared" si="3"/>
        <v>0.19354838709677419</v>
      </c>
      <c r="O53" s="3">
        <f t="shared" si="1"/>
        <v>4.2965924579736487</v>
      </c>
      <c r="P53" s="8">
        <v>12</v>
      </c>
      <c r="Q53" s="7">
        <f t="shared" si="2"/>
        <v>0.35804937149780408</v>
      </c>
    </row>
    <row r="54" spans="1:17" x14ac:dyDescent="0.35">
      <c r="A54" s="4" t="s">
        <v>69</v>
      </c>
      <c r="B54" s="4" t="s">
        <v>66</v>
      </c>
      <c r="C54" s="4" t="s">
        <v>20</v>
      </c>
      <c r="D54" s="4">
        <v>300</v>
      </c>
      <c r="E54" s="4" t="s">
        <v>10</v>
      </c>
      <c r="F54" s="4" t="s">
        <v>114</v>
      </c>
      <c r="G54" s="4" t="s">
        <v>0</v>
      </c>
      <c r="H54" s="4">
        <v>2.48</v>
      </c>
      <c r="I54" s="4" t="s">
        <v>61</v>
      </c>
      <c r="J54" s="4" t="s">
        <v>1</v>
      </c>
      <c r="K54" s="4">
        <v>7.1</v>
      </c>
      <c r="L54" s="7">
        <f t="shared" si="0"/>
        <v>0.34929577464788736</v>
      </c>
      <c r="M54" s="9">
        <v>-0.16715542521994134</v>
      </c>
      <c r="N54" s="5">
        <f t="shared" si="3"/>
        <v>0</v>
      </c>
      <c r="O54" s="3">
        <f t="shared" si="1"/>
        <v>0.34929577464788736</v>
      </c>
      <c r="P54" s="8">
        <v>14</v>
      </c>
      <c r="Q54" s="7">
        <f t="shared" si="2"/>
        <v>2.4949698189134811E-2</v>
      </c>
    </row>
    <row r="55" spans="1:17" x14ac:dyDescent="0.35">
      <c r="A55" s="4" t="s">
        <v>69</v>
      </c>
      <c r="B55" s="4" t="s">
        <v>66</v>
      </c>
      <c r="C55" s="4" t="s">
        <v>20</v>
      </c>
      <c r="D55" s="4">
        <v>300</v>
      </c>
      <c r="E55" s="4" t="s">
        <v>10</v>
      </c>
      <c r="F55" s="4" t="s">
        <v>114</v>
      </c>
      <c r="G55" s="4" t="s">
        <v>62</v>
      </c>
      <c r="H55" s="4">
        <v>0.76</v>
      </c>
      <c r="I55" s="4" t="s">
        <v>63</v>
      </c>
      <c r="J55" s="4" t="s">
        <v>1</v>
      </c>
      <c r="K55" s="4">
        <v>7.1</v>
      </c>
      <c r="L55" s="7">
        <f t="shared" si="0"/>
        <v>0.10704225352112677</v>
      </c>
      <c r="M55" s="9">
        <v>1.4662756598240469E-3</v>
      </c>
      <c r="N55" s="5">
        <f t="shared" si="3"/>
        <v>1.4662756598240469E-3</v>
      </c>
      <c r="O55" s="3">
        <f t="shared" si="1"/>
        <v>0.10557597786130272</v>
      </c>
      <c r="P55" s="8">
        <v>31</v>
      </c>
      <c r="Q55" s="7">
        <f t="shared" si="2"/>
        <v>3.4056767052033136E-3</v>
      </c>
    </row>
    <row r="56" spans="1:17" x14ac:dyDescent="0.35">
      <c r="A56" s="4" t="s">
        <v>70</v>
      </c>
      <c r="B56" s="4" t="s">
        <v>66</v>
      </c>
      <c r="C56" s="4" t="s">
        <v>20</v>
      </c>
      <c r="D56" s="4">
        <v>300</v>
      </c>
      <c r="E56" s="4" t="s">
        <v>10</v>
      </c>
      <c r="F56" s="4" t="s">
        <v>114</v>
      </c>
      <c r="G56" s="4" t="s">
        <v>21</v>
      </c>
      <c r="H56" s="4">
        <v>22.66</v>
      </c>
      <c r="I56" s="4" t="s">
        <v>22</v>
      </c>
      <c r="J56" s="4" t="s">
        <v>1</v>
      </c>
      <c r="K56" s="4">
        <v>9.18</v>
      </c>
      <c r="L56" s="7">
        <f t="shared" si="0"/>
        <v>2.4684095860566448</v>
      </c>
      <c r="M56" s="9">
        <v>-1.6176470588235296E-2</v>
      </c>
      <c r="N56" s="5">
        <f t="shared" si="3"/>
        <v>0</v>
      </c>
      <c r="O56" s="3">
        <f t="shared" si="1"/>
        <v>2.4684095860566448</v>
      </c>
      <c r="P56" s="8">
        <v>12</v>
      </c>
      <c r="Q56" s="7">
        <f t="shared" si="2"/>
        <v>0.20570079883805373</v>
      </c>
    </row>
    <row r="57" spans="1:17" x14ac:dyDescent="0.35">
      <c r="A57" s="4" t="s">
        <v>70</v>
      </c>
      <c r="B57" s="4" t="s">
        <v>66</v>
      </c>
      <c r="C57" s="4" t="s">
        <v>20</v>
      </c>
      <c r="D57" s="4">
        <v>300</v>
      </c>
      <c r="E57" s="4" t="s">
        <v>10</v>
      </c>
      <c r="F57" s="4" t="s">
        <v>114</v>
      </c>
      <c r="G57" s="4" t="s">
        <v>0</v>
      </c>
      <c r="H57" s="4">
        <v>1.88</v>
      </c>
      <c r="I57" s="4" t="s">
        <v>61</v>
      </c>
      <c r="J57" s="4" t="s">
        <v>1</v>
      </c>
      <c r="K57" s="4">
        <v>9.18</v>
      </c>
      <c r="L57" s="7">
        <f t="shared" si="0"/>
        <v>0.20479302832244009</v>
      </c>
      <c r="M57" s="9">
        <v>5.1470588235294115E-2</v>
      </c>
      <c r="N57" s="5">
        <f t="shared" si="3"/>
        <v>5.1470588235294115E-2</v>
      </c>
      <c r="O57" s="3">
        <f t="shared" si="1"/>
        <v>0.15332244008714596</v>
      </c>
      <c r="P57" s="8">
        <v>14</v>
      </c>
      <c r="Q57" s="7">
        <f t="shared" si="2"/>
        <v>1.0951602863367568E-2</v>
      </c>
    </row>
    <row r="58" spans="1:17" x14ac:dyDescent="0.35">
      <c r="A58" s="4" t="s">
        <v>70</v>
      </c>
      <c r="B58" s="4" t="s">
        <v>66</v>
      </c>
      <c r="C58" s="4" t="s">
        <v>20</v>
      </c>
      <c r="D58" s="4">
        <v>300</v>
      </c>
      <c r="E58" s="4" t="s">
        <v>10</v>
      </c>
      <c r="F58" s="4" t="s">
        <v>114</v>
      </c>
      <c r="G58" s="4" t="s">
        <v>62</v>
      </c>
      <c r="H58" s="4">
        <v>0.41</v>
      </c>
      <c r="I58" s="4" t="s">
        <v>63</v>
      </c>
      <c r="J58" s="4" t="s">
        <v>1</v>
      </c>
      <c r="K58" s="4">
        <v>9.18</v>
      </c>
      <c r="L58" s="7">
        <f t="shared" si="0"/>
        <v>4.4662309368191717E-2</v>
      </c>
      <c r="M58" s="9">
        <v>-8.8235294117647058E-3</v>
      </c>
      <c r="N58" s="5">
        <f t="shared" si="3"/>
        <v>0</v>
      </c>
      <c r="O58" s="3">
        <f t="shared" si="1"/>
        <v>4.4662309368191717E-2</v>
      </c>
      <c r="P58" s="8">
        <v>31</v>
      </c>
      <c r="Q58" s="7">
        <f t="shared" si="2"/>
        <v>1.4407196570384426E-3</v>
      </c>
    </row>
    <row r="59" spans="1:17" x14ac:dyDescent="0.35">
      <c r="A59" s="4" t="s">
        <v>71</v>
      </c>
      <c r="B59" s="4" t="s">
        <v>72</v>
      </c>
      <c r="C59" s="4" t="s">
        <v>20</v>
      </c>
      <c r="D59" s="4">
        <v>506</v>
      </c>
      <c r="E59" s="4" t="s">
        <v>10</v>
      </c>
      <c r="F59" s="4" t="s">
        <v>114</v>
      </c>
      <c r="G59" s="4" t="s">
        <v>21</v>
      </c>
      <c r="H59" s="4">
        <v>25.68</v>
      </c>
      <c r="I59" s="4" t="s">
        <v>22</v>
      </c>
      <c r="J59" s="4" t="s">
        <v>1</v>
      </c>
      <c r="K59" s="4">
        <v>8.32</v>
      </c>
      <c r="L59" s="7">
        <f t="shared" si="0"/>
        <v>3.0865384615384612</v>
      </c>
      <c r="M59" s="9">
        <v>0.12387791741472171</v>
      </c>
      <c r="N59" s="5">
        <f t="shared" si="3"/>
        <v>0.12387791741472171</v>
      </c>
      <c r="O59" s="3">
        <f t="shared" si="1"/>
        <v>2.9626605441237395</v>
      </c>
      <c r="P59" s="8">
        <v>12</v>
      </c>
      <c r="Q59" s="7">
        <f t="shared" si="2"/>
        <v>0.2468883786769783</v>
      </c>
    </row>
    <row r="60" spans="1:17" x14ac:dyDescent="0.35">
      <c r="A60" s="4" t="s">
        <v>71</v>
      </c>
      <c r="B60" s="4" t="s">
        <v>72</v>
      </c>
      <c r="C60" s="4" t="s">
        <v>20</v>
      </c>
      <c r="D60" s="4">
        <v>506</v>
      </c>
      <c r="E60" s="4" t="s">
        <v>10</v>
      </c>
      <c r="F60" s="4" t="s">
        <v>114</v>
      </c>
      <c r="G60" s="4" t="s">
        <v>0</v>
      </c>
      <c r="H60" s="4">
        <v>0.45</v>
      </c>
      <c r="I60" s="4" t="s">
        <v>61</v>
      </c>
      <c r="J60" s="4" t="s">
        <v>1</v>
      </c>
      <c r="K60" s="4">
        <v>8.32</v>
      </c>
      <c r="L60" s="7">
        <f t="shared" si="0"/>
        <v>5.4086538461538464E-2</v>
      </c>
      <c r="M60" s="9">
        <v>-0.15080789946140036</v>
      </c>
      <c r="N60" s="5">
        <f t="shared" si="3"/>
        <v>0</v>
      </c>
      <c r="O60" s="3">
        <f t="shared" si="1"/>
        <v>5.4086538461538464E-2</v>
      </c>
      <c r="P60" s="8">
        <v>14</v>
      </c>
      <c r="Q60" s="7">
        <f t="shared" si="2"/>
        <v>3.863324175824176E-3</v>
      </c>
    </row>
    <row r="61" spans="1:17" x14ac:dyDescent="0.35">
      <c r="A61" s="4" t="s">
        <v>71</v>
      </c>
      <c r="B61" s="4" t="s">
        <v>72</v>
      </c>
      <c r="C61" s="4" t="s">
        <v>20</v>
      </c>
      <c r="D61" s="4">
        <v>506</v>
      </c>
      <c r="E61" s="4" t="s">
        <v>10</v>
      </c>
      <c r="F61" s="4" t="s">
        <v>114</v>
      </c>
      <c r="G61" s="4" t="s">
        <v>62</v>
      </c>
      <c r="H61" s="4">
        <v>0.3</v>
      </c>
      <c r="I61" s="4" t="s">
        <v>63</v>
      </c>
      <c r="J61" s="4" t="s">
        <v>1</v>
      </c>
      <c r="K61" s="4">
        <v>8.32</v>
      </c>
      <c r="L61" s="7">
        <f t="shared" si="0"/>
        <v>3.6057692307692304E-2</v>
      </c>
      <c r="M61" s="9">
        <v>-3.5906642728904844E-3</v>
      </c>
      <c r="N61" s="5">
        <f t="shared" si="3"/>
        <v>0</v>
      </c>
      <c r="O61" s="3">
        <f t="shared" si="1"/>
        <v>3.6057692307692304E-2</v>
      </c>
      <c r="P61" s="8">
        <v>31</v>
      </c>
      <c r="Q61" s="7">
        <f t="shared" si="2"/>
        <v>1.1631513647642679E-3</v>
      </c>
    </row>
    <row r="62" spans="1:17" x14ac:dyDescent="0.35">
      <c r="A62" s="4" t="s">
        <v>41</v>
      </c>
      <c r="B62" s="4" t="s">
        <v>42</v>
      </c>
      <c r="C62" s="4" t="s">
        <v>20</v>
      </c>
      <c r="D62" s="4">
        <v>10</v>
      </c>
      <c r="E62" s="4" t="s">
        <v>9</v>
      </c>
      <c r="F62" s="4" t="s">
        <v>145</v>
      </c>
      <c r="G62" s="4" t="s">
        <v>21</v>
      </c>
      <c r="H62" s="4">
        <v>18.59</v>
      </c>
      <c r="I62" s="4" t="s">
        <v>22</v>
      </c>
      <c r="J62" s="4" t="s">
        <v>1</v>
      </c>
      <c r="K62" s="4">
        <v>8.89</v>
      </c>
      <c r="L62" s="7">
        <f t="shared" si="0"/>
        <v>2.0911136107986499</v>
      </c>
      <c r="M62" s="9">
        <v>0.11392405063291139</v>
      </c>
      <c r="N62" s="5">
        <f t="shared" si="3"/>
        <v>0.11392405063291139</v>
      </c>
      <c r="O62" s="3">
        <f t="shared" si="1"/>
        <v>1.9771895601657385</v>
      </c>
      <c r="P62" s="8">
        <v>12</v>
      </c>
      <c r="Q62" s="7">
        <f t="shared" si="2"/>
        <v>0.16476579668047822</v>
      </c>
    </row>
    <row r="63" spans="1:17" x14ac:dyDescent="0.35">
      <c r="A63" s="4" t="s">
        <v>41</v>
      </c>
      <c r="B63" s="4" t="s">
        <v>42</v>
      </c>
      <c r="C63" s="4" t="s">
        <v>20</v>
      </c>
      <c r="D63" s="4">
        <v>10</v>
      </c>
      <c r="E63" s="4" t="s">
        <v>9</v>
      </c>
      <c r="F63" s="4" t="s">
        <v>145</v>
      </c>
      <c r="G63" s="4" t="s">
        <v>0</v>
      </c>
      <c r="H63" s="4">
        <v>1.47</v>
      </c>
      <c r="I63" s="4" t="s">
        <v>61</v>
      </c>
      <c r="J63" s="4" t="s">
        <v>1</v>
      </c>
      <c r="K63" s="4">
        <v>8.89</v>
      </c>
      <c r="L63" s="7">
        <f t="shared" si="0"/>
        <v>0.1653543307086614</v>
      </c>
      <c r="M63" s="9">
        <v>-0.1420534458509142</v>
      </c>
      <c r="N63" s="5">
        <f t="shared" si="3"/>
        <v>0</v>
      </c>
      <c r="O63" s="3">
        <f t="shared" si="1"/>
        <v>0.1653543307086614</v>
      </c>
      <c r="P63" s="8">
        <v>14</v>
      </c>
      <c r="Q63" s="7">
        <f t="shared" si="2"/>
        <v>1.1811023622047242E-2</v>
      </c>
    </row>
    <row r="64" spans="1:17" x14ac:dyDescent="0.35">
      <c r="A64" s="4" t="s">
        <v>41</v>
      </c>
      <c r="B64" s="4" t="s">
        <v>42</v>
      </c>
      <c r="C64" s="4" t="s">
        <v>20</v>
      </c>
      <c r="D64" s="4">
        <v>10</v>
      </c>
      <c r="E64" s="4" t="s">
        <v>9</v>
      </c>
      <c r="F64" s="4" t="s">
        <v>145</v>
      </c>
      <c r="G64" s="4" t="s">
        <v>62</v>
      </c>
      <c r="H64" s="4">
        <v>0.2</v>
      </c>
      <c r="I64" s="4" t="s">
        <v>63</v>
      </c>
      <c r="J64" s="4" t="s">
        <v>1</v>
      </c>
      <c r="K64" s="4">
        <v>8.89</v>
      </c>
      <c r="L64" s="7">
        <f t="shared" si="0"/>
        <v>2.2497187851518559E-2</v>
      </c>
      <c r="M64" s="9">
        <v>1.4064697609001407E-3</v>
      </c>
      <c r="N64" s="5">
        <f t="shared" si="3"/>
        <v>1.4064697609001407E-3</v>
      </c>
      <c r="O64" s="3">
        <f t="shared" si="1"/>
        <v>2.1090718090618417E-2</v>
      </c>
      <c r="P64" s="8">
        <v>31</v>
      </c>
      <c r="Q64" s="7">
        <f t="shared" si="2"/>
        <v>6.8034574485865864E-4</v>
      </c>
    </row>
    <row r="65" spans="1:17" x14ac:dyDescent="0.35">
      <c r="A65" s="4" t="s">
        <v>41</v>
      </c>
      <c r="B65" s="4" t="s">
        <v>42</v>
      </c>
      <c r="C65" s="4" t="s">
        <v>20</v>
      </c>
      <c r="D65" s="4">
        <v>10</v>
      </c>
      <c r="E65" s="4" t="s">
        <v>9</v>
      </c>
      <c r="F65" s="4" t="s">
        <v>145</v>
      </c>
      <c r="G65" s="4" t="s">
        <v>21</v>
      </c>
      <c r="H65" s="4">
        <v>14.52</v>
      </c>
      <c r="I65" s="4" t="s">
        <v>22</v>
      </c>
      <c r="J65" s="4" t="s">
        <v>1</v>
      </c>
      <c r="K65" s="4">
        <v>15.01</v>
      </c>
      <c r="L65" s="7">
        <f t="shared" si="0"/>
        <v>0.96735509660226515</v>
      </c>
      <c r="M65" s="9">
        <v>0.11392405063291139</v>
      </c>
      <c r="N65" s="5">
        <f t="shared" si="3"/>
        <v>0.11392405063291139</v>
      </c>
      <c r="O65" s="3">
        <f t="shared" si="1"/>
        <v>0.85343104596935371</v>
      </c>
      <c r="P65" s="8">
        <v>12</v>
      </c>
      <c r="Q65" s="7">
        <f t="shared" si="2"/>
        <v>7.111925383077948E-2</v>
      </c>
    </row>
    <row r="66" spans="1:17" x14ac:dyDescent="0.35">
      <c r="A66" s="4" t="s">
        <v>41</v>
      </c>
      <c r="B66" s="4" t="s">
        <v>42</v>
      </c>
      <c r="C66" s="4" t="s">
        <v>20</v>
      </c>
      <c r="D66" s="4">
        <v>10</v>
      </c>
      <c r="E66" s="4" t="s">
        <v>9</v>
      </c>
      <c r="F66" s="4" t="s">
        <v>145</v>
      </c>
      <c r="G66" s="4" t="s">
        <v>0</v>
      </c>
      <c r="H66" s="4">
        <v>0.81</v>
      </c>
      <c r="I66" s="4" t="s">
        <v>61</v>
      </c>
      <c r="J66" s="4" t="s">
        <v>1</v>
      </c>
      <c r="K66" s="4">
        <v>15.01</v>
      </c>
      <c r="L66" s="7">
        <f t="shared" si="0"/>
        <v>5.3964023984010664E-2</v>
      </c>
      <c r="M66" s="9">
        <v>-0.1420534458509142</v>
      </c>
      <c r="N66" s="5">
        <f t="shared" si="3"/>
        <v>0</v>
      </c>
      <c r="O66" s="3">
        <f t="shared" si="1"/>
        <v>5.3964023984010664E-2</v>
      </c>
      <c r="P66" s="8">
        <v>14</v>
      </c>
      <c r="Q66" s="7">
        <f t="shared" si="2"/>
        <v>3.8545731417150473E-3</v>
      </c>
    </row>
    <row r="67" spans="1:17" x14ac:dyDescent="0.35">
      <c r="A67" s="4" t="s">
        <v>41</v>
      </c>
      <c r="B67" s="4" t="s">
        <v>42</v>
      </c>
      <c r="C67" s="4" t="s">
        <v>20</v>
      </c>
      <c r="D67" s="4">
        <v>10</v>
      </c>
      <c r="E67" s="4" t="s">
        <v>9</v>
      </c>
      <c r="F67" s="4" t="s">
        <v>145</v>
      </c>
      <c r="G67" s="4" t="s">
        <v>62</v>
      </c>
      <c r="H67" s="4">
        <v>0.15</v>
      </c>
      <c r="I67" s="4" t="s">
        <v>63</v>
      </c>
      <c r="J67" s="4" t="s">
        <v>1</v>
      </c>
      <c r="K67" s="4">
        <v>15.01</v>
      </c>
      <c r="L67" s="7">
        <f t="shared" ref="L67:L130" si="4">H67/K67</f>
        <v>9.9933377748167886E-3</v>
      </c>
      <c r="M67" s="9">
        <v>1.4064697609001407E-3</v>
      </c>
      <c r="N67" s="5">
        <f t="shared" si="3"/>
        <v>1.4064697609001407E-3</v>
      </c>
      <c r="O67" s="3">
        <f t="shared" ref="O67:O130" si="5">L67-N67</f>
        <v>8.5868680139166483E-3</v>
      </c>
      <c r="P67" s="8">
        <v>31</v>
      </c>
      <c r="Q67" s="7">
        <f t="shared" ref="Q67:Q130" si="6">O67/P67</f>
        <v>2.76995742384408E-4</v>
      </c>
    </row>
    <row r="68" spans="1:17" x14ac:dyDescent="0.35">
      <c r="A68" s="4" t="s">
        <v>43</v>
      </c>
      <c r="B68" s="4" t="s">
        <v>42</v>
      </c>
      <c r="C68" s="4" t="s">
        <v>20</v>
      </c>
      <c r="D68" s="4">
        <v>10</v>
      </c>
      <c r="E68" s="4" t="s">
        <v>9</v>
      </c>
      <c r="F68" s="4" t="s">
        <v>145</v>
      </c>
      <c r="G68" s="4" t="s">
        <v>21</v>
      </c>
      <c r="H68" s="4">
        <v>23.57</v>
      </c>
      <c r="I68" s="4" t="s">
        <v>22</v>
      </c>
      <c r="J68" s="4" t="s">
        <v>1</v>
      </c>
      <c r="K68" s="4">
        <v>9.23</v>
      </c>
      <c r="L68" s="7">
        <f t="shared" si="4"/>
        <v>2.5536294691224266</v>
      </c>
      <c r="M68" s="9">
        <v>0.18968133535660092</v>
      </c>
      <c r="N68" s="5">
        <f t="shared" ref="N68:N131" si="7">IF(M68&lt;0,0,M68)</f>
        <v>0.18968133535660092</v>
      </c>
      <c r="O68" s="3">
        <f t="shared" si="5"/>
        <v>2.3639481337658257</v>
      </c>
      <c r="P68" s="8">
        <v>12</v>
      </c>
      <c r="Q68" s="7">
        <f t="shared" si="6"/>
        <v>0.1969956778138188</v>
      </c>
    </row>
    <row r="69" spans="1:17" x14ac:dyDescent="0.35">
      <c r="A69" s="4" t="s">
        <v>43</v>
      </c>
      <c r="B69" s="4" t="s">
        <v>42</v>
      </c>
      <c r="C69" s="4" t="s">
        <v>20</v>
      </c>
      <c r="D69" s="4">
        <v>10</v>
      </c>
      <c r="E69" s="4" t="s">
        <v>9</v>
      </c>
      <c r="F69" s="4" t="s">
        <v>145</v>
      </c>
      <c r="G69" s="4" t="s">
        <v>0</v>
      </c>
      <c r="H69" s="4">
        <v>1.85</v>
      </c>
      <c r="I69" s="4" t="s">
        <v>61</v>
      </c>
      <c r="J69" s="4" t="s">
        <v>1</v>
      </c>
      <c r="K69" s="4">
        <v>9.23</v>
      </c>
      <c r="L69" s="7">
        <f t="shared" si="4"/>
        <v>0.20043336944745396</v>
      </c>
      <c r="M69" s="9">
        <v>-0.14871016691957512</v>
      </c>
      <c r="N69" s="5">
        <f t="shared" si="7"/>
        <v>0</v>
      </c>
      <c r="O69" s="3">
        <f t="shared" si="5"/>
        <v>0.20043336944745396</v>
      </c>
      <c r="P69" s="8">
        <v>14</v>
      </c>
      <c r="Q69" s="7">
        <f t="shared" si="6"/>
        <v>1.4316669246246711E-2</v>
      </c>
    </row>
    <row r="70" spans="1:17" x14ac:dyDescent="0.35">
      <c r="A70" s="4" t="s">
        <v>43</v>
      </c>
      <c r="B70" s="4" t="s">
        <v>42</v>
      </c>
      <c r="C70" s="4" t="s">
        <v>20</v>
      </c>
      <c r="D70" s="4">
        <v>10</v>
      </c>
      <c r="E70" s="4" t="s">
        <v>9</v>
      </c>
      <c r="F70" s="4" t="s">
        <v>145</v>
      </c>
      <c r="G70" s="4" t="s">
        <v>62</v>
      </c>
      <c r="H70" s="4">
        <v>0.17</v>
      </c>
      <c r="I70" s="4" t="s">
        <v>63</v>
      </c>
      <c r="J70" s="4" t="s">
        <v>1</v>
      </c>
      <c r="K70" s="4">
        <v>9.23</v>
      </c>
      <c r="L70" s="7">
        <f t="shared" si="4"/>
        <v>1.8418201516793065E-2</v>
      </c>
      <c r="M70" s="9">
        <v>-6.0698027314112293E-3</v>
      </c>
      <c r="N70" s="5">
        <f t="shared" si="7"/>
        <v>0</v>
      </c>
      <c r="O70" s="3">
        <f t="shared" si="5"/>
        <v>1.8418201516793065E-2</v>
      </c>
      <c r="P70" s="8">
        <v>31</v>
      </c>
      <c r="Q70" s="7">
        <f t="shared" si="6"/>
        <v>5.9413553279977628E-4</v>
      </c>
    </row>
    <row r="71" spans="1:17" x14ac:dyDescent="0.35">
      <c r="A71" s="4" t="s">
        <v>43</v>
      </c>
      <c r="B71" s="4" t="s">
        <v>42</v>
      </c>
      <c r="C71" s="4" t="s">
        <v>20</v>
      </c>
      <c r="D71" s="4">
        <v>10</v>
      </c>
      <c r="E71" s="4" t="s">
        <v>9</v>
      </c>
      <c r="F71" s="4" t="s">
        <v>145</v>
      </c>
      <c r="G71" s="4" t="s">
        <v>21</v>
      </c>
      <c r="H71" s="4">
        <v>5.03</v>
      </c>
      <c r="I71" s="4" t="s">
        <v>22</v>
      </c>
      <c r="J71" s="4" t="s">
        <v>1</v>
      </c>
      <c r="K71" s="4">
        <v>7.31</v>
      </c>
      <c r="L71" s="7">
        <f t="shared" si="4"/>
        <v>0.68809849521203836</v>
      </c>
      <c r="M71" s="9">
        <v>0.18968133535660092</v>
      </c>
      <c r="N71" s="5">
        <f t="shared" si="7"/>
        <v>0.18968133535660092</v>
      </c>
      <c r="O71" s="3">
        <f t="shared" si="5"/>
        <v>0.49841715985543744</v>
      </c>
      <c r="P71" s="8">
        <v>12</v>
      </c>
      <c r="Q71" s="7">
        <f t="shared" si="6"/>
        <v>4.1534763321286451E-2</v>
      </c>
    </row>
    <row r="72" spans="1:17" x14ac:dyDescent="0.35">
      <c r="A72" s="4" t="s">
        <v>43</v>
      </c>
      <c r="B72" s="4" t="s">
        <v>42</v>
      </c>
      <c r="C72" s="4" t="s">
        <v>20</v>
      </c>
      <c r="D72" s="4">
        <v>10</v>
      </c>
      <c r="E72" s="4" t="s">
        <v>9</v>
      </c>
      <c r="F72" s="4" t="s">
        <v>145</v>
      </c>
      <c r="G72" s="4" t="s">
        <v>0</v>
      </c>
      <c r="H72" s="4">
        <v>0.06</v>
      </c>
      <c r="I72" s="4" t="s">
        <v>61</v>
      </c>
      <c r="J72" s="4" t="s">
        <v>1</v>
      </c>
      <c r="K72" s="4">
        <v>7.31</v>
      </c>
      <c r="L72" s="7">
        <f t="shared" si="4"/>
        <v>8.2079343365253077E-3</v>
      </c>
      <c r="M72" s="9">
        <v>-0.14871016691957512</v>
      </c>
      <c r="N72" s="5">
        <f t="shared" si="7"/>
        <v>0</v>
      </c>
      <c r="O72" s="3">
        <f t="shared" si="5"/>
        <v>8.2079343365253077E-3</v>
      </c>
      <c r="P72" s="8">
        <v>14</v>
      </c>
      <c r="Q72" s="7">
        <f t="shared" si="6"/>
        <v>5.8628102403752199E-4</v>
      </c>
    </row>
    <row r="73" spans="1:17" x14ac:dyDescent="0.35">
      <c r="A73" s="4" t="s">
        <v>43</v>
      </c>
      <c r="B73" s="4" t="s">
        <v>42</v>
      </c>
      <c r="C73" s="4" t="s">
        <v>20</v>
      </c>
      <c r="D73" s="4">
        <v>10</v>
      </c>
      <c r="E73" s="4" t="s">
        <v>9</v>
      </c>
      <c r="F73" s="4" t="s">
        <v>145</v>
      </c>
      <c r="G73" s="4" t="s">
        <v>62</v>
      </c>
      <c r="H73" s="4">
        <v>0.03</v>
      </c>
      <c r="I73" s="4" t="s">
        <v>63</v>
      </c>
      <c r="J73" s="4" t="s">
        <v>1</v>
      </c>
      <c r="K73" s="4">
        <v>7.31</v>
      </c>
      <c r="L73" s="7">
        <f t="shared" si="4"/>
        <v>4.1039671682626538E-3</v>
      </c>
      <c r="M73" s="9">
        <v>-6.0698027314112293E-3</v>
      </c>
      <c r="N73" s="5">
        <f t="shared" si="7"/>
        <v>0</v>
      </c>
      <c r="O73" s="3">
        <f t="shared" si="5"/>
        <v>4.1039671682626538E-3</v>
      </c>
      <c r="P73" s="8">
        <v>31</v>
      </c>
      <c r="Q73" s="7">
        <f t="shared" si="6"/>
        <v>1.3238603768589205E-4</v>
      </c>
    </row>
    <row r="74" spans="1:17" x14ac:dyDescent="0.35">
      <c r="A74" s="4" t="s">
        <v>44</v>
      </c>
      <c r="B74" s="4" t="s">
        <v>42</v>
      </c>
      <c r="C74" s="4" t="s">
        <v>20</v>
      </c>
      <c r="D74" s="4">
        <v>10</v>
      </c>
      <c r="E74" s="4" t="s">
        <v>9</v>
      </c>
      <c r="F74" s="4" t="s">
        <v>145</v>
      </c>
      <c r="G74" s="4" t="s">
        <v>21</v>
      </c>
      <c r="H74" s="4">
        <v>10.97</v>
      </c>
      <c r="I74" s="4" t="s">
        <v>22</v>
      </c>
      <c r="J74" s="4" t="s">
        <v>1</v>
      </c>
      <c r="K74" s="4">
        <v>9.2799999999999994</v>
      </c>
      <c r="L74" s="7">
        <f t="shared" si="4"/>
        <v>1.1821120689655173</v>
      </c>
      <c r="M74" s="3"/>
      <c r="N74" s="5">
        <f t="shared" si="7"/>
        <v>0</v>
      </c>
      <c r="O74" s="3">
        <f t="shared" si="5"/>
        <v>1.1821120689655173</v>
      </c>
      <c r="P74" s="8">
        <v>12</v>
      </c>
      <c r="Q74" s="7">
        <f t="shared" si="6"/>
        <v>9.8509339080459779E-2</v>
      </c>
    </row>
    <row r="75" spans="1:17" x14ac:dyDescent="0.35">
      <c r="A75" s="4" t="s">
        <v>44</v>
      </c>
      <c r="B75" s="4" t="s">
        <v>42</v>
      </c>
      <c r="C75" s="4" t="s">
        <v>20</v>
      </c>
      <c r="D75" s="4">
        <v>10</v>
      </c>
      <c r="E75" s="4" t="s">
        <v>9</v>
      </c>
      <c r="F75" s="4" t="s">
        <v>145</v>
      </c>
      <c r="G75" s="4" t="s">
        <v>0</v>
      </c>
      <c r="H75" s="4">
        <v>0.11</v>
      </c>
      <c r="I75" s="4" t="s">
        <v>61</v>
      </c>
      <c r="J75" s="4" t="s">
        <v>1</v>
      </c>
      <c r="K75" s="4">
        <v>9.2799999999999994</v>
      </c>
      <c r="L75" s="7">
        <f t="shared" si="4"/>
        <v>1.185344827586207E-2</v>
      </c>
      <c r="M75" s="9">
        <v>-0.1137370753323486</v>
      </c>
      <c r="N75" s="5">
        <f t="shared" si="7"/>
        <v>0</v>
      </c>
      <c r="O75" s="3">
        <f t="shared" si="5"/>
        <v>1.185344827586207E-2</v>
      </c>
      <c r="P75" s="8">
        <v>14</v>
      </c>
      <c r="Q75" s="7">
        <f t="shared" si="6"/>
        <v>8.4667487684729069E-4</v>
      </c>
    </row>
    <row r="76" spans="1:17" x14ac:dyDescent="0.35">
      <c r="A76" s="4" t="s">
        <v>44</v>
      </c>
      <c r="B76" s="4" t="s">
        <v>42</v>
      </c>
      <c r="C76" s="4" t="s">
        <v>20</v>
      </c>
      <c r="D76" s="4">
        <v>10</v>
      </c>
      <c r="E76" s="4" t="s">
        <v>9</v>
      </c>
      <c r="F76" s="4" t="s">
        <v>145</v>
      </c>
      <c r="G76" s="4" t="s">
        <v>62</v>
      </c>
      <c r="H76" s="4">
        <v>0.09</v>
      </c>
      <c r="I76" s="4" t="s">
        <v>63</v>
      </c>
      <c r="J76" s="4" t="s">
        <v>1</v>
      </c>
      <c r="K76" s="4">
        <v>9.2799999999999994</v>
      </c>
      <c r="L76" s="7">
        <f t="shared" si="4"/>
        <v>9.6982758620689658E-3</v>
      </c>
      <c r="M76" s="9">
        <v>-5.9084194977843431E-3</v>
      </c>
      <c r="N76" s="5">
        <f t="shared" si="7"/>
        <v>0</v>
      </c>
      <c r="O76" s="3">
        <f t="shared" si="5"/>
        <v>9.6982758620689658E-3</v>
      </c>
      <c r="P76" s="8">
        <v>31</v>
      </c>
      <c r="Q76" s="7">
        <f t="shared" si="6"/>
        <v>3.128476084538376E-4</v>
      </c>
    </row>
    <row r="77" spans="1:17" x14ac:dyDescent="0.35">
      <c r="A77" s="4" t="s">
        <v>44</v>
      </c>
      <c r="B77" s="4" t="s">
        <v>42</v>
      </c>
      <c r="C77" s="4" t="s">
        <v>20</v>
      </c>
      <c r="D77" s="4">
        <v>10</v>
      </c>
      <c r="E77" s="4" t="s">
        <v>9</v>
      </c>
      <c r="F77" s="4" t="s">
        <v>145</v>
      </c>
      <c r="G77" s="4" t="s">
        <v>21</v>
      </c>
      <c r="H77" s="4">
        <v>11.93</v>
      </c>
      <c r="I77" s="4" t="s">
        <v>22</v>
      </c>
      <c r="J77" s="4" t="s">
        <v>1</v>
      </c>
      <c r="K77" s="4">
        <v>13.46</v>
      </c>
      <c r="L77" s="7">
        <f t="shared" si="4"/>
        <v>0.88632986627043087</v>
      </c>
      <c r="M77" s="3"/>
      <c r="N77" s="5">
        <f t="shared" si="7"/>
        <v>0</v>
      </c>
      <c r="O77" s="3">
        <f t="shared" si="5"/>
        <v>0.88632986627043087</v>
      </c>
      <c r="P77" s="8">
        <v>12</v>
      </c>
      <c r="Q77" s="7">
        <f t="shared" si="6"/>
        <v>7.3860822189202577E-2</v>
      </c>
    </row>
    <row r="78" spans="1:17" x14ac:dyDescent="0.35">
      <c r="A78" s="4" t="s">
        <v>44</v>
      </c>
      <c r="B78" s="4" t="s">
        <v>42</v>
      </c>
      <c r="C78" s="4" t="s">
        <v>20</v>
      </c>
      <c r="D78" s="4">
        <v>10</v>
      </c>
      <c r="E78" s="4" t="s">
        <v>9</v>
      </c>
      <c r="F78" s="4" t="s">
        <v>145</v>
      </c>
      <c r="G78" s="4" t="s">
        <v>0</v>
      </c>
      <c r="H78" s="4">
        <v>0.42</v>
      </c>
      <c r="I78" s="4" t="s">
        <v>61</v>
      </c>
      <c r="J78" s="4" t="s">
        <v>1</v>
      </c>
      <c r="K78" s="4">
        <v>13.46</v>
      </c>
      <c r="L78" s="7">
        <f t="shared" si="4"/>
        <v>3.1203566121842493E-2</v>
      </c>
      <c r="M78" s="9">
        <v>-0.1137370753323486</v>
      </c>
      <c r="N78" s="5">
        <f t="shared" si="7"/>
        <v>0</v>
      </c>
      <c r="O78" s="3">
        <f t="shared" si="5"/>
        <v>3.1203566121842493E-2</v>
      </c>
      <c r="P78" s="8">
        <v>14</v>
      </c>
      <c r="Q78" s="7">
        <f t="shared" si="6"/>
        <v>2.2288261515601782E-3</v>
      </c>
    </row>
    <row r="79" spans="1:17" x14ac:dyDescent="0.35">
      <c r="A79" s="4" t="s">
        <v>44</v>
      </c>
      <c r="B79" s="4" t="s">
        <v>42</v>
      </c>
      <c r="C79" s="4" t="s">
        <v>20</v>
      </c>
      <c r="D79" s="4">
        <v>10</v>
      </c>
      <c r="E79" s="4" t="s">
        <v>9</v>
      </c>
      <c r="F79" s="4" t="s">
        <v>145</v>
      </c>
      <c r="G79" s="4" t="s">
        <v>62</v>
      </c>
      <c r="H79" s="4">
        <v>0.04</v>
      </c>
      <c r="I79" s="4" t="s">
        <v>63</v>
      </c>
      <c r="J79" s="4" t="s">
        <v>1</v>
      </c>
      <c r="K79" s="4">
        <v>13.46</v>
      </c>
      <c r="L79" s="7">
        <f t="shared" si="4"/>
        <v>2.9717682020802376E-3</v>
      </c>
      <c r="M79" s="9">
        <v>-5.9084194977843431E-3</v>
      </c>
      <c r="N79" s="5">
        <f t="shared" si="7"/>
        <v>0</v>
      </c>
      <c r="O79" s="3">
        <f t="shared" si="5"/>
        <v>2.9717682020802376E-3</v>
      </c>
      <c r="P79" s="8">
        <v>31</v>
      </c>
      <c r="Q79" s="7">
        <f t="shared" si="6"/>
        <v>9.5863490389685077E-5</v>
      </c>
    </row>
    <row r="80" spans="1:17" x14ac:dyDescent="0.35">
      <c r="A80" s="4" t="s">
        <v>45</v>
      </c>
      <c r="B80" s="4" t="s">
        <v>42</v>
      </c>
      <c r="C80" s="4" t="s">
        <v>20</v>
      </c>
      <c r="D80" s="4">
        <v>10</v>
      </c>
      <c r="E80" s="4" t="s">
        <v>9</v>
      </c>
      <c r="F80" s="4" t="s">
        <v>145</v>
      </c>
      <c r="G80" s="4" t="s">
        <v>21</v>
      </c>
      <c r="H80" s="4">
        <v>22.02</v>
      </c>
      <c r="I80" s="4" t="s">
        <v>22</v>
      </c>
      <c r="J80" s="4" t="s">
        <v>1</v>
      </c>
      <c r="K80" s="4">
        <v>9.07</v>
      </c>
      <c r="L80" s="7">
        <f t="shared" si="4"/>
        <v>2.4277839029768464</v>
      </c>
      <c r="M80" s="9">
        <v>0.16773162939297126</v>
      </c>
      <c r="N80" s="5">
        <f t="shared" si="7"/>
        <v>0.16773162939297126</v>
      </c>
      <c r="O80" s="3">
        <f t="shared" si="5"/>
        <v>2.2600522735838751</v>
      </c>
      <c r="P80" s="8">
        <v>12</v>
      </c>
      <c r="Q80" s="7">
        <f t="shared" si="6"/>
        <v>0.18833768946532292</v>
      </c>
    </row>
    <row r="81" spans="1:17" x14ac:dyDescent="0.35">
      <c r="A81" s="4" t="s">
        <v>45</v>
      </c>
      <c r="B81" s="4" t="s">
        <v>42</v>
      </c>
      <c r="C81" s="4" t="s">
        <v>20</v>
      </c>
      <c r="D81" s="4">
        <v>10</v>
      </c>
      <c r="E81" s="4" t="s">
        <v>9</v>
      </c>
      <c r="F81" s="4" t="s">
        <v>145</v>
      </c>
      <c r="G81" s="4" t="s">
        <v>0</v>
      </c>
      <c r="H81" s="4">
        <v>1.81</v>
      </c>
      <c r="I81" s="4" t="s">
        <v>61</v>
      </c>
      <c r="J81" s="4" t="s">
        <v>1</v>
      </c>
      <c r="K81" s="4">
        <v>9.07</v>
      </c>
      <c r="L81" s="7">
        <f t="shared" si="4"/>
        <v>0.19955898566703417</v>
      </c>
      <c r="M81" s="9">
        <v>-0.13099041533546327</v>
      </c>
      <c r="N81" s="5">
        <f t="shared" si="7"/>
        <v>0</v>
      </c>
      <c r="O81" s="3">
        <f t="shared" si="5"/>
        <v>0.19955898566703417</v>
      </c>
      <c r="P81" s="8">
        <v>14</v>
      </c>
      <c r="Q81" s="7">
        <f t="shared" si="6"/>
        <v>1.4254213261931012E-2</v>
      </c>
    </row>
    <row r="82" spans="1:17" x14ac:dyDescent="0.35">
      <c r="A82" s="4" t="s">
        <v>45</v>
      </c>
      <c r="B82" s="4" t="s">
        <v>42</v>
      </c>
      <c r="C82" s="4" t="s">
        <v>20</v>
      </c>
      <c r="D82" s="4">
        <v>10</v>
      </c>
      <c r="E82" s="4" t="s">
        <v>9</v>
      </c>
      <c r="F82" s="4" t="s">
        <v>145</v>
      </c>
      <c r="G82" s="4" t="s">
        <v>62</v>
      </c>
      <c r="H82" s="4">
        <v>0.28000000000000003</v>
      </c>
      <c r="I82" s="4" t="s">
        <v>63</v>
      </c>
      <c r="J82" s="4" t="s">
        <v>1</v>
      </c>
      <c r="K82" s="4">
        <v>9.07</v>
      </c>
      <c r="L82" s="7">
        <f t="shared" si="4"/>
        <v>3.08710033076075E-2</v>
      </c>
      <c r="M82" s="9">
        <v>-3.1948881789137383E-3</v>
      </c>
      <c r="N82" s="5">
        <f t="shared" si="7"/>
        <v>0</v>
      </c>
      <c r="O82" s="3">
        <f t="shared" si="5"/>
        <v>3.08710033076075E-2</v>
      </c>
      <c r="P82" s="8">
        <v>31</v>
      </c>
      <c r="Q82" s="7">
        <f t="shared" si="6"/>
        <v>9.9583881637443548E-4</v>
      </c>
    </row>
    <row r="83" spans="1:17" x14ac:dyDescent="0.35">
      <c r="A83" s="4" t="s">
        <v>45</v>
      </c>
      <c r="B83" s="4" t="s">
        <v>42</v>
      </c>
      <c r="C83" s="4" t="s">
        <v>20</v>
      </c>
      <c r="D83" s="4">
        <v>10</v>
      </c>
      <c r="E83" s="4" t="s">
        <v>9</v>
      </c>
      <c r="F83" s="4" t="s">
        <v>145</v>
      </c>
      <c r="G83" s="4" t="s">
        <v>21</v>
      </c>
      <c r="H83" s="4">
        <v>11.84</v>
      </c>
      <c r="I83" s="4" t="s">
        <v>22</v>
      </c>
      <c r="J83" s="4" t="s">
        <v>1</v>
      </c>
      <c r="K83" s="4">
        <v>14.41</v>
      </c>
      <c r="L83" s="7">
        <f t="shared" si="4"/>
        <v>0.82165163081193615</v>
      </c>
      <c r="M83" s="9">
        <v>0.16773162939297126</v>
      </c>
      <c r="N83" s="5">
        <f t="shared" si="7"/>
        <v>0.16773162939297126</v>
      </c>
      <c r="O83" s="3">
        <f t="shared" si="5"/>
        <v>0.65392000141896489</v>
      </c>
      <c r="P83" s="8">
        <v>12</v>
      </c>
      <c r="Q83" s="7">
        <f t="shared" si="6"/>
        <v>5.449333345158041E-2</v>
      </c>
    </row>
    <row r="84" spans="1:17" x14ac:dyDescent="0.35">
      <c r="A84" s="4" t="s">
        <v>45</v>
      </c>
      <c r="B84" s="4" t="s">
        <v>42</v>
      </c>
      <c r="C84" s="4" t="s">
        <v>20</v>
      </c>
      <c r="D84" s="4">
        <v>10</v>
      </c>
      <c r="E84" s="4" t="s">
        <v>9</v>
      </c>
      <c r="F84" s="4" t="s">
        <v>145</v>
      </c>
      <c r="G84" s="4" t="s">
        <v>0</v>
      </c>
      <c r="H84" s="4">
        <v>0.87</v>
      </c>
      <c r="I84" s="4" t="s">
        <v>61</v>
      </c>
      <c r="J84" s="4" t="s">
        <v>1</v>
      </c>
      <c r="K84" s="4">
        <v>14.41</v>
      </c>
      <c r="L84" s="7">
        <f t="shared" si="4"/>
        <v>6.0374739764052741E-2</v>
      </c>
      <c r="M84" s="9">
        <v>-0.13099041533546327</v>
      </c>
      <c r="N84" s="5">
        <f t="shared" si="7"/>
        <v>0</v>
      </c>
      <c r="O84" s="3">
        <f t="shared" si="5"/>
        <v>6.0374739764052741E-2</v>
      </c>
      <c r="P84" s="8">
        <v>14</v>
      </c>
      <c r="Q84" s="7">
        <f t="shared" si="6"/>
        <v>4.3124814117180528E-3</v>
      </c>
    </row>
    <row r="85" spans="1:17" x14ac:dyDescent="0.35">
      <c r="A85" s="4" t="s">
        <v>45</v>
      </c>
      <c r="B85" s="4" t="s">
        <v>42</v>
      </c>
      <c r="C85" s="4" t="s">
        <v>20</v>
      </c>
      <c r="D85" s="4">
        <v>10</v>
      </c>
      <c r="E85" s="4" t="s">
        <v>9</v>
      </c>
      <c r="F85" s="4" t="s">
        <v>145</v>
      </c>
      <c r="G85" s="4" t="s">
        <v>62</v>
      </c>
      <c r="H85" s="4">
        <v>0.06</v>
      </c>
      <c r="I85" s="4" t="s">
        <v>63</v>
      </c>
      <c r="J85" s="4" t="s">
        <v>1</v>
      </c>
      <c r="K85" s="4">
        <v>14.41</v>
      </c>
      <c r="L85" s="7">
        <f t="shared" si="4"/>
        <v>4.1637751561415682E-3</v>
      </c>
      <c r="M85" s="9">
        <v>-3.1948881789137383E-3</v>
      </c>
      <c r="N85" s="5">
        <f t="shared" si="7"/>
        <v>0</v>
      </c>
      <c r="O85" s="3">
        <f t="shared" si="5"/>
        <v>4.1637751561415682E-3</v>
      </c>
      <c r="P85" s="8">
        <v>31</v>
      </c>
      <c r="Q85" s="7">
        <f t="shared" si="6"/>
        <v>1.3431532761746994E-4</v>
      </c>
    </row>
    <row r="86" spans="1:17" x14ac:dyDescent="0.35">
      <c r="A86" s="4" t="s">
        <v>45</v>
      </c>
      <c r="B86" s="4" t="s">
        <v>42</v>
      </c>
      <c r="C86" s="4" t="s">
        <v>20</v>
      </c>
      <c r="D86" s="4">
        <v>10</v>
      </c>
      <c r="E86" s="4" t="s">
        <v>9</v>
      </c>
      <c r="F86" s="4" t="s">
        <v>145</v>
      </c>
      <c r="G86" s="4" t="s">
        <v>21</v>
      </c>
      <c r="H86" s="4">
        <v>20.27</v>
      </c>
      <c r="I86" s="4" t="s">
        <v>22</v>
      </c>
      <c r="J86" s="4" t="s">
        <v>1</v>
      </c>
      <c r="K86" s="4">
        <v>15.18</v>
      </c>
      <c r="L86" s="7">
        <f t="shared" si="4"/>
        <v>1.3353096179183135</v>
      </c>
      <c r="M86" s="9">
        <v>0.16773162939297126</v>
      </c>
      <c r="N86" s="5">
        <f t="shared" si="7"/>
        <v>0.16773162939297126</v>
      </c>
      <c r="O86" s="3">
        <f t="shared" si="5"/>
        <v>1.1675779885253421</v>
      </c>
      <c r="P86" s="8">
        <v>12</v>
      </c>
      <c r="Q86" s="7">
        <f t="shared" si="6"/>
        <v>9.7298165710445181E-2</v>
      </c>
    </row>
    <row r="87" spans="1:17" x14ac:dyDescent="0.35">
      <c r="A87" s="4" t="s">
        <v>45</v>
      </c>
      <c r="B87" s="4" t="s">
        <v>42</v>
      </c>
      <c r="C87" s="4" t="s">
        <v>20</v>
      </c>
      <c r="D87" s="4">
        <v>10</v>
      </c>
      <c r="E87" s="4" t="s">
        <v>9</v>
      </c>
      <c r="F87" s="4" t="s">
        <v>145</v>
      </c>
      <c r="G87" s="4" t="s">
        <v>0</v>
      </c>
      <c r="H87" s="4">
        <v>2.09</v>
      </c>
      <c r="I87" s="4" t="s">
        <v>61</v>
      </c>
      <c r="J87" s="4" t="s">
        <v>1</v>
      </c>
      <c r="K87" s="4">
        <v>15.18</v>
      </c>
      <c r="L87" s="7">
        <f t="shared" si="4"/>
        <v>0.13768115942028986</v>
      </c>
      <c r="M87" s="9">
        <v>-0.13099041533546327</v>
      </c>
      <c r="N87" s="5">
        <f t="shared" si="7"/>
        <v>0</v>
      </c>
      <c r="O87" s="3">
        <f t="shared" si="5"/>
        <v>0.13768115942028986</v>
      </c>
      <c r="P87" s="8">
        <v>14</v>
      </c>
      <c r="Q87" s="7">
        <f t="shared" si="6"/>
        <v>9.834368530020704E-3</v>
      </c>
    </row>
    <row r="88" spans="1:17" x14ac:dyDescent="0.35">
      <c r="A88" s="4" t="s">
        <v>45</v>
      </c>
      <c r="B88" s="4" t="s">
        <v>42</v>
      </c>
      <c r="C88" s="4" t="s">
        <v>20</v>
      </c>
      <c r="D88" s="4">
        <v>10</v>
      </c>
      <c r="E88" s="4" t="s">
        <v>9</v>
      </c>
      <c r="F88" s="4" t="s">
        <v>145</v>
      </c>
      <c r="G88" s="4" t="s">
        <v>62</v>
      </c>
      <c r="H88" s="4">
        <v>0.56999999999999995</v>
      </c>
      <c r="I88" s="4" t="s">
        <v>63</v>
      </c>
      <c r="J88" s="4" t="s">
        <v>1</v>
      </c>
      <c r="K88" s="4">
        <v>15.18</v>
      </c>
      <c r="L88" s="7">
        <f t="shared" si="4"/>
        <v>3.7549407114624504E-2</v>
      </c>
      <c r="M88" s="9">
        <v>-3.1948881789137383E-3</v>
      </c>
      <c r="N88" s="5">
        <f t="shared" si="7"/>
        <v>0</v>
      </c>
      <c r="O88" s="3">
        <f t="shared" si="5"/>
        <v>3.7549407114624504E-2</v>
      </c>
      <c r="P88" s="8">
        <v>31</v>
      </c>
      <c r="Q88" s="7">
        <f t="shared" si="6"/>
        <v>1.2112711972459517E-3</v>
      </c>
    </row>
    <row r="89" spans="1:17" x14ac:dyDescent="0.35">
      <c r="A89" s="4" t="s">
        <v>46</v>
      </c>
      <c r="B89" s="4" t="s">
        <v>47</v>
      </c>
      <c r="C89" s="4" t="s">
        <v>20</v>
      </c>
      <c r="D89" s="4">
        <v>10</v>
      </c>
      <c r="E89" s="4" t="s">
        <v>9</v>
      </c>
      <c r="F89" s="4" t="s">
        <v>145</v>
      </c>
      <c r="G89" s="4" t="s">
        <v>21</v>
      </c>
      <c r="H89" s="4">
        <v>23.7</v>
      </c>
      <c r="I89" s="4" t="s">
        <v>22</v>
      </c>
      <c r="J89" s="4" t="s">
        <v>1</v>
      </c>
      <c r="K89" s="4">
        <v>10.07</v>
      </c>
      <c r="L89" s="7">
        <f t="shared" si="4"/>
        <v>2.3535253227408139</v>
      </c>
      <c r="M89" s="9">
        <v>0.45978391356542619</v>
      </c>
      <c r="N89" s="5">
        <f t="shared" si="7"/>
        <v>0.45978391356542619</v>
      </c>
      <c r="O89" s="3">
        <f t="shared" si="5"/>
        <v>1.8937414091753877</v>
      </c>
      <c r="P89" s="8">
        <v>12</v>
      </c>
      <c r="Q89" s="7">
        <f t="shared" si="6"/>
        <v>0.15781178409794896</v>
      </c>
    </row>
    <row r="90" spans="1:17" x14ac:dyDescent="0.35">
      <c r="A90" s="4" t="s">
        <v>46</v>
      </c>
      <c r="B90" s="4" t="s">
        <v>47</v>
      </c>
      <c r="C90" s="4" t="s">
        <v>20</v>
      </c>
      <c r="D90" s="4">
        <v>10</v>
      </c>
      <c r="E90" s="4" t="s">
        <v>9</v>
      </c>
      <c r="F90" s="4" t="s">
        <v>145</v>
      </c>
      <c r="G90" s="4" t="s">
        <v>0</v>
      </c>
      <c r="H90" s="4">
        <v>1.68</v>
      </c>
      <c r="I90" s="4" t="s">
        <v>61</v>
      </c>
      <c r="J90" s="4" t="s">
        <v>1</v>
      </c>
      <c r="K90" s="4">
        <v>10.07</v>
      </c>
      <c r="L90" s="7">
        <f t="shared" si="4"/>
        <v>0.16683217477656404</v>
      </c>
      <c r="M90" s="9">
        <v>-3.8415366146458581E-2</v>
      </c>
      <c r="N90" s="5">
        <f t="shared" si="7"/>
        <v>0</v>
      </c>
      <c r="O90" s="3">
        <f t="shared" si="5"/>
        <v>0.16683217477656404</v>
      </c>
      <c r="P90" s="8">
        <v>14</v>
      </c>
      <c r="Q90" s="7">
        <f t="shared" si="6"/>
        <v>1.1916583912611717E-2</v>
      </c>
    </row>
    <row r="91" spans="1:17" x14ac:dyDescent="0.35">
      <c r="A91" s="4" t="s">
        <v>46</v>
      </c>
      <c r="B91" s="4" t="s">
        <v>47</v>
      </c>
      <c r="C91" s="4" t="s">
        <v>20</v>
      </c>
      <c r="D91" s="4">
        <v>10</v>
      </c>
      <c r="E91" s="4" t="s">
        <v>9</v>
      </c>
      <c r="F91" s="4" t="s">
        <v>145</v>
      </c>
      <c r="G91" s="4" t="s">
        <v>62</v>
      </c>
      <c r="H91" s="4">
        <v>0.27</v>
      </c>
      <c r="I91" s="4" t="s">
        <v>63</v>
      </c>
      <c r="J91" s="4" t="s">
        <v>1</v>
      </c>
      <c r="K91" s="4">
        <v>10.07</v>
      </c>
      <c r="L91" s="7">
        <f t="shared" si="4"/>
        <v>2.6812313803376366E-2</v>
      </c>
      <c r="M91" s="9">
        <v>2.4009603841536613E-3</v>
      </c>
      <c r="N91" s="5">
        <f t="shared" si="7"/>
        <v>2.4009603841536613E-3</v>
      </c>
      <c r="O91" s="3">
        <f t="shared" si="5"/>
        <v>2.4411353419222705E-2</v>
      </c>
      <c r="P91" s="8">
        <v>31</v>
      </c>
      <c r="Q91" s="7">
        <f t="shared" si="6"/>
        <v>7.8746301352331308E-4</v>
      </c>
    </row>
    <row r="92" spans="1:17" x14ac:dyDescent="0.35">
      <c r="A92" s="4" t="s">
        <v>46</v>
      </c>
      <c r="B92" s="4" t="s">
        <v>47</v>
      </c>
      <c r="C92" s="4" t="s">
        <v>20</v>
      </c>
      <c r="D92" s="4">
        <v>10</v>
      </c>
      <c r="E92" s="4" t="s">
        <v>9</v>
      </c>
      <c r="F92" s="4" t="s">
        <v>145</v>
      </c>
      <c r="G92" s="4" t="s">
        <v>21</v>
      </c>
      <c r="H92" s="4">
        <v>24.15</v>
      </c>
      <c r="I92" s="4" t="s">
        <v>22</v>
      </c>
      <c r="J92" s="4" t="s">
        <v>1</v>
      </c>
      <c r="K92" s="4">
        <v>12.73</v>
      </c>
      <c r="L92" s="7">
        <f t="shared" si="4"/>
        <v>1.8970934799685779</v>
      </c>
      <c r="M92" s="9">
        <v>0.45978391356542619</v>
      </c>
      <c r="N92" s="5">
        <f t="shared" si="7"/>
        <v>0.45978391356542619</v>
      </c>
      <c r="O92" s="3">
        <f t="shared" si="5"/>
        <v>1.4373095664031517</v>
      </c>
      <c r="P92" s="8">
        <v>12</v>
      </c>
      <c r="Q92" s="7">
        <f t="shared" si="6"/>
        <v>0.11977579720026264</v>
      </c>
    </row>
    <row r="93" spans="1:17" x14ac:dyDescent="0.35">
      <c r="A93" s="4" t="s">
        <v>46</v>
      </c>
      <c r="B93" s="4" t="s">
        <v>47</v>
      </c>
      <c r="C93" s="4" t="s">
        <v>20</v>
      </c>
      <c r="D93" s="4">
        <v>10</v>
      </c>
      <c r="E93" s="4" t="s">
        <v>9</v>
      </c>
      <c r="F93" s="4" t="s">
        <v>145</v>
      </c>
      <c r="G93" s="4" t="s">
        <v>0</v>
      </c>
      <c r="H93" s="4">
        <v>1.73</v>
      </c>
      <c r="I93" s="4" t="s">
        <v>61</v>
      </c>
      <c r="J93" s="4" t="s">
        <v>1</v>
      </c>
      <c r="K93" s="4">
        <v>12.73</v>
      </c>
      <c r="L93" s="7">
        <f t="shared" si="4"/>
        <v>0.13589945011783189</v>
      </c>
      <c r="M93" s="9">
        <v>-3.8415366146458581E-2</v>
      </c>
      <c r="N93" s="5">
        <f t="shared" si="7"/>
        <v>0</v>
      </c>
      <c r="O93" s="3">
        <f t="shared" si="5"/>
        <v>0.13589945011783189</v>
      </c>
      <c r="P93" s="8">
        <v>14</v>
      </c>
      <c r="Q93" s="7">
        <f t="shared" si="6"/>
        <v>9.7071035798451354E-3</v>
      </c>
    </row>
    <row r="94" spans="1:17" x14ac:dyDescent="0.35">
      <c r="A94" s="4" t="s">
        <v>46</v>
      </c>
      <c r="B94" s="4" t="s">
        <v>47</v>
      </c>
      <c r="C94" s="4" t="s">
        <v>20</v>
      </c>
      <c r="D94" s="4">
        <v>10</v>
      </c>
      <c r="E94" s="4" t="s">
        <v>9</v>
      </c>
      <c r="F94" s="4" t="s">
        <v>145</v>
      </c>
      <c r="G94" s="4" t="s">
        <v>62</v>
      </c>
      <c r="H94" s="4">
        <v>0.28999999999999998</v>
      </c>
      <c r="I94" s="4" t="s">
        <v>63</v>
      </c>
      <c r="J94" s="4" t="s">
        <v>1</v>
      </c>
      <c r="K94" s="4">
        <v>12.73</v>
      </c>
      <c r="L94" s="7">
        <f t="shared" si="4"/>
        <v>2.2780832678711702E-2</v>
      </c>
      <c r="M94" s="9">
        <v>2.4009603841536613E-3</v>
      </c>
      <c r="N94" s="5">
        <f t="shared" si="7"/>
        <v>2.4009603841536613E-3</v>
      </c>
      <c r="O94" s="3">
        <f t="shared" si="5"/>
        <v>2.0379872294558041E-2</v>
      </c>
      <c r="P94" s="8">
        <v>31</v>
      </c>
      <c r="Q94" s="7">
        <f t="shared" si="6"/>
        <v>6.5741523530832389E-4</v>
      </c>
    </row>
    <row r="95" spans="1:17" x14ac:dyDescent="0.35">
      <c r="A95" s="4" t="s">
        <v>57</v>
      </c>
      <c r="B95" s="4" t="s">
        <v>47</v>
      </c>
      <c r="C95" s="4" t="s">
        <v>20</v>
      </c>
      <c r="D95" s="4">
        <v>10</v>
      </c>
      <c r="E95" s="4" t="s">
        <v>9</v>
      </c>
      <c r="F95" s="4" t="s">
        <v>117</v>
      </c>
      <c r="G95" s="4" t="s">
        <v>21</v>
      </c>
      <c r="H95" s="4">
        <v>16.27</v>
      </c>
      <c r="I95" s="4" t="s">
        <v>22</v>
      </c>
      <c r="J95" s="4" t="s">
        <v>1</v>
      </c>
      <c r="K95" s="4">
        <v>9.85</v>
      </c>
      <c r="L95" s="7">
        <f t="shared" si="4"/>
        <v>1.651776649746193</v>
      </c>
      <c r="M95" s="9">
        <v>0.11580594679186229</v>
      </c>
      <c r="N95" s="5">
        <f t="shared" si="7"/>
        <v>0.11580594679186229</v>
      </c>
      <c r="O95" s="3">
        <f t="shared" si="5"/>
        <v>1.5359707029543306</v>
      </c>
      <c r="P95" s="8">
        <v>12</v>
      </c>
      <c r="Q95" s="7">
        <f t="shared" si="6"/>
        <v>0.12799755857952755</v>
      </c>
    </row>
    <row r="96" spans="1:17" x14ac:dyDescent="0.35">
      <c r="A96" s="4" t="s">
        <v>57</v>
      </c>
      <c r="B96" s="4" t="s">
        <v>47</v>
      </c>
      <c r="C96" s="4" t="s">
        <v>20</v>
      </c>
      <c r="D96" s="4">
        <v>10</v>
      </c>
      <c r="E96" s="4" t="s">
        <v>9</v>
      </c>
      <c r="F96" s="4" t="s">
        <v>117</v>
      </c>
      <c r="G96" s="4" t="s">
        <v>0</v>
      </c>
      <c r="H96" s="4">
        <v>1.21</v>
      </c>
      <c r="I96" s="4" t="s">
        <v>61</v>
      </c>
      <c r="J96" s="4" t="s">
        <v>1</v>
      </c>
      <c r="K96" s="4">
        <v>9.85</v>
      </c>
      <c r="L96" s="7">
        <f t="shared" si="4"/>
        <v>0.12284263959390863</v>
      </c>
      <c r="M96" s="9">
        <v>-2.6604068857589987E-2</v>
      </c>
      <c r="N96" s="5">
        <f t="shared" si="7"/>
        <v>0</v>
      </c>
      <c r="O96" s="3">
        <f t="shared" si="5"/>
        <v>0.12284263959390863</v>
      </c>
      <c r="P96" s="8">
        <v>14</v>
      </c>
      <c r="Q96" s="7">
        <f t="shared" si="6"/>
        <v>8.7744742567077601E-3</v>
      </c>
    </row>
    <row r="97" spans="1:17" x14ac:dyDescent="0.35">
      <c r="A97" s="4" t="s">
        <v>57</v>
      </c>
      <c r="B97" s="4" t="s">
        <v>47</v>
      </c>
      <c r="C97" s="4" t="s">
        <v>20</v>
      </c>
      <c r="D97" s="4">
        <v>10</v>
      </c>
      <c r="E97" s="4" t="s">
        <v>9</v>
      </c>
      <c r="F97" s="4" t="s">
        <v>117</v>
      </c>
      <c r="G97" s="4" t="s">
        <v>62</v>
      </c>
      <c r="H97" s="4">
        <v>0.27</v>
      </c>
      <c r="I97" s="4" t="s">
        <v>63</v>
      </c>
      <c r="J97" s="4" t="s">
        <v>1</v>
      </c>
      <c r="K97" s="4">
        <v>9.85</v>
      </c>
      <c r="L97" s="7">
        <f t="shared" si="4"/>
        <v>2.7411167512690359E-2</v>
      </c>
      <c r="M97" s="9">
        <v>3.1298904538341159E-3</v>
      </c>
      <c r="N97" s="5">
        <f t="shared" si="7"/>
        <v>3.1298904538341159E-3</v>
      </c>
      <c r="O97" s="3">
        <f t="shared" si="5"/>
        <v>2.4281277058856243E-2</v>
      </c>
      <c r="P97" s="8">
        <v>31</v>
      </c>
      <c r="Q97" s="7">
        <f t="shared" si="6"/>
        <v>7.8326700189858853E-4</v>
      </c>
    </row>
    <row r="98" spans="1:17" x14ac:dyDescent="0.35">
      <c r="A98" s="4" t="s">
        <v>48</v>
      </c>
      <c r="B98" s="4" t="s">
        <v>24</v>
      </c>
      <c r="C98" s="4" t="s">
        <v>20</v>
      </c>
      <c r="D98" s="4">
        <v>30</v>
      </c>
      <c r="E98" s="4" t="s">
        <v>9</v>
      </c>
      <c r="F98" s="4" t="s">
        <v>145</v>
      </c>
      <c r="G98" s="4" t="s">
        <v>21</v>
      </c>
      <c r="H98" s="4">
        <v>17.100000000000001</v>
      </c>
      <c r="I98" s="4" t="s">
        <v>22</v>
      </c>
      <c r="J98" s="4" t="s">
        <v>1</v>
      </c>
      <c r="K98" s="4">
        <v>17</v>
      </c>
      <c r="L98" s="7">
        <f t="shared" si="4"/>
        <v>1.0058823529411764</v>
      </c>
      <c r="M98" s="9">
        <v>5.886792452830189E-2</v>
      </c>
      <c r="N98" s="5">
        <f t="shared" si="7"/>
        <v>5.886792452830189E-2</v>
      </c>
      <c r="O98" s="3">
        <f t="shared" si="5"/>
        <v>0.94701442841287453</v>
      </c>
      <c r="P98" s="8">
        <v>12</v>
      </c>
      <c r="Q98" s="7">
        <f t="shared" si="6"/>
        <v>7.8917869034406216E-2</v>
      </c>
    </row>
    <row r="99" spans="1:17" x14ac:dyDescent="0.35">
      <c r="A99" s="4" t="s">
        <v>48</v>
      </c>
      <c r="B99" s="4" t="s">
        <v>24</v>
      </c>
      <c r="C99" s="4" t="s">
        <v>20</v>
      </c>
      <c r="D99" s="4">
        <v>30</v>
      </c>
      <c r="E99" s="4" t="s">
        <v>9</v>
      </c>
      <c r="F99" s="4" t="s">
        <v>145</v>
      </c>
      <c r="G99" s="4" t="s">
        <v>0</v>
      </c>
      <c r="H99" s="4">
        <v>0.38</v>
      </c>
      <c r="I99" s="4" t="s">
        <v>61</v>
      </c>
      <c r="J99" s="4" t="s">
        <v>1</v>
      </c>
      <c r="K99" s="4">
        <v>17</v>
      </c>
      <c r="L99" s="7">
        <f t="shared" si="4"/>
        <v>2.2352941176470589E-2</v>
      </c>
      <c r="M99" s="9">
        <v>-6.8679245283018872E-2</v>
      </c>
      <c r="N99" s="5">
        <f t="shared" si="7"/>
        <v>0</v>
      </c>
      <c r="O99" s="3">
        <f t="shared" si="5"/>
        <v>2.2352941176470589E-2</v>
      </c>
      <c r="P99" s="8">
        <v>14</v>
      </c>
      <c r="Q99" s="7">
        <f t="shared" si="6"/>
        <v>1.596638655462185E-3</v>
      </c>
    </row>
    <row r="100" spans="1:17" x14ac:dyDescent="0.35">
      <c r="A100" s="4" t="s">
        <v>48</v>
      </c>
      <c r="B100" s="4" t="s">
        <v>24</v>
      </c>
      <c r="C100" s="4" t="s">
        <v>20</v>
      </c>
      <c r="D100" s="4">
        <v>30</v>
      </c>
      <c r="E100" s="4" t="s">
        <v>9</v>
      </c>
      <c r="F100" s="4" t="s">
        <v>145</v>
      </c>
      <c r="G100" s="4" t="s">
        <v>62</v>
      </c>
      <c r="H100" s="4">
        <v>0.35</v>
      </c>
      <c r="I100" s="4" t="s">
        <v>63</v>
      </c>
      <c r="J100" s="4" t="s">
        <v>1</v>
      </c>
      <c r="K100" s="4">
        <v>17</v>
      </c>
      <c r="L100" s="7">
        <f t="shared" si="4"/>
        <v>2.0588235294117647E-2</v>
      </c>
      <c r="M100" s="9">
        <v>-3.0188679245283017E-3</v>
      </c>
      <c r="N100" s="5">
        <f t="shared" si="7"/>
        <v>0</v>
      </c>
      <c r="O100" s="3">
        <f t="shared" si="5"/>
        <v>2.0588235294117647E-2</v>
      </c>
      <c r="P100" s="8">
        <v>31</v>
      </c>
      <c r="Q100" s="7">
        <f t="shared" si="6"/>
        <v>6.6413662239089182E-4</v>
      </c>
    </row>
    <row r="101" spans="1:17" x14ac:dyDescent="0.35">
      <c r="A101" s="4" t="s">
        <v>48</v>
      </c>
      <c r="B101" s="4" t="s">
        <v>24</v>
      </c>
      <c r="C101" s="4" t="s">
        <v>20</v>
      </c>
      <c r="D101" s="4">
        <v>30</v>
      </c>
      <c r="E101" s="4" t="s">
        <v>9</v>
      </c>
      <c r="F101" s="4" t="s">
        <v>145</v>
      </c>
      <c r="G101" s="4" t="s">
        <v>21</v>
      </c>
      <c r="H101" s="4">
        <v>22.09</v>
      </c>
      <c r="I101" s="4" t="s">
        <v>22</v>
      </c>
      <c r="J101" s="4" t="s">
        <v>1</v>
      </c>
      <c r="K101" s="4">
        <v>14.93</v>
      </c>
      <c r="L101" s="7">
        <f t="shared" si="4"/>
        <v>1.4795713328868052</v>
      </c>
      <c r="M101" s="9">
        <v>5.886792452830189E-2</v>
      </c>
      <c r="N101" s="5">
        <f t="shared" si="7"/>
        <v>5.886792452830189E-2</v>
      </c>
      <c r="O101" s="3">
        <f t="shared" si="5"/>
        <v>1.4207034083585033</v>
      </c>
      <c r="P101" s="8">
        <v>12</v>
      </c>
      <c r="Q101" s="7">
        <f t="shared" si="6"/>
        <v>0.11839195069654194</v>
      </c>
    </row>
    <row r="102" spans="1:17" x14ac:dyDescent="0.35">
      <c r="A102" s="4" t="s">
        <v>48</v>
      </c>
      <c r="B102" s="4" t="s">
        <v>24</v>
      </c>
      <c r="C102" s="4" t="s">
        <v>20</v>
      </c>
      <c r="D102" s="4">
        <v>30</v>
      </c>
      <c r="E102" s="4" t="s">
        <v>9</v>
      </c>
      <c r="F102" s="4" t="s">
        <v>145</v>
      </c>
      <c r="G102" s="4" t="s">
        <v>0</v>
      </c>
      <c r="H102" s="4">
        <v>2.0099999999999998</v>
      </c>
      <c r="I102" s="4" t="s">
        <v>61</v>
      </c>
      <c r="J102" s="4" t="s">
        <v>1</v>
      </c>
      <c r="K102" s="4">
        <v>14.93</v>
      </c>
      <c r="L102" s="7">
        <f t="shared" si="4"/>
        <v>0.13462826523777627</v>
      </c>
      <c r="M102" s="9">
        <v>-6.8679245283018872E-2</v>
      </c>
      <c r="N102" s="5">
        <f t="shared" si="7"/>
        <v>0</v>
      </c>
      <c r="O102" s="3">
        <f t="shared" si="5"/>
        <v>0.13462826523777627</v>
      </c>
      <c r="P102" s="8">
        <v>14</v>
      </c>
      <c r="Q102" s="7">
        <f t="shared" si="6"/>
        <v>9.6163046598411617E-3</v>
      </c>
    </row>
    <row r="103" spans="1:17" x14ac:dyDescent="0.35">
      <c r="A103" s="4" t="s">
        <v>48</v>
      </c>
      <c r="B103" s="4" t="s">
        <v>24</v>
      </c>
      <c r="C103" s="4" t="s">
        <v>20</v>
      </c>
      <c r="D103" s="4">
        <v>30</v>
      </c>
      <c r="E103" s="4" t="s">
        <v>9</v>
      </c>
      <c r="F103" s="4" t="s">
        <v>145</v>
      </c>
      <c r="G103" s="4" t="s">
        <v>62</v>
      </c>
      <c r="H103" s="4">
        <v>0.34</v>
      </c>
      <c r="I103" s="4" t="s">
        <v>63</v>
      </c>
      <c r="J103" s="4" t="s">
        <v>1</v>
      </c>
      <c r="K103" s="4">
        <v>14.93</v>
      </c>
      <c r="L103" s="7">
        <f t="shared" si="4"/>
        <v>2.2772940388479573E-2</v>
      </c>
      <c r="M103" s="9">
        <v>-3.0188679245283017E-3</v>
      </c>
      <c r="N103" s="5">
        <f t="shared" si="7"/>
        <v>0</v>
      </c>
      <c r="O103" s="3">
        <f t="shared" si="5"/>
        <v>2.2772940388479573E-2</v>
      </c>
      <c r="P103" s="8">
        <v>31</v>
      </c>
      <c r="Q103" s="7">
        <f t="shared" si="6"/>
        <v>7.3461098027353467E-4</v>
      </c>
    </row>
    <row r="104" spans="1:17" x14ac:dyDescent="0.35">
      <c r="A104" s="4" t="s">
        <v>23</v>
      </c>
      <c r="B104" s="4" t="s">
        <v>24</v>
      </c>
      <c r="C104" s="4" t="s">
        <v>20</v>
      </c>
      <c r="D104" s="4">
        <v>30</v>
      </c>
      <c r="E104" s="4" t="s">
        <v>9</v>
      </c>
      <c r="F104" s="4" t="s">
        <v>114</v>
      </c>
      <c r="G104" s="4" t="s">
        <v>21</v>
      </c>
      <c r="H104" s="4">
        <v>24.37</v>
      </c>
      <c r="I104" s="4" t="s">
        <v>22</v>
      </c>
      <c r="J104" s="4" t="s">
        <v>1</v>
      </c>
      <c r="K104" s="4">
        <v>11.73</v>
      </c>
      <c r="L104" s="7">
        <f t="shared" si="4"/>
        <v>2.0775788576300087</v>
      </c>
      <c r="M104" s="9">
        <v>5.4462934947049922E-2</v>
      </c>
      <c r="N104" s="5">
        <f t="shared" si="7"/>
        <v>5.4462934947049922E-2</v>
      </c>
      <c r="O104" s="3">
        <f t="shared" si="5"/>
        <v>2.0231159226829587</v>
      </c>
      <c r="P104" s="8">
        <v>12</v>
      </c>
      <c r="Q104" s="7">
        <f t="shared" si="6"/>
        <v>0.16859299355691323</v>
      </c>
    </row>
    <row r="105" spans="1:17" x14ac:dyDescent="0.35">
      <c r="A105" s="4" t="s">
        <v>23</v>
      </c>
      <c r="B105" s="4" t="s">
        <v>24</v>
      </c>
      <c r="C105" s="4" t="s">
        <v>20</v>
      </c>
      <c r="D105" s="4">
        <v>30</v>
      </c>
      <c r="E105" s="4" t="s">
        <v>9</v>
      </c>
      <c r="F105" s="4" t="s">
        <v>114</v>
      </c>
      <c r="G105" s="4" t="s">
        <v>0</v>
      </c>
      <c r="H105" s="4">
        <v>2.69</v>
      </c>
      <c r="I105" s="4" t="s">
        <v>61</v>
      </c>
      <c r="J105" s="4" t="s">
        <v>1</v>
      </c>
      <c r="K105" s="4">
        <v>11.73</v>
      </c>
      <c r="L105" s="7">
        <f t="shared" si="4"/>
        <v>0.22932651321398123</v>
      </c>
      <c r="M105" s="9">
        <v>-4.3872919818456875E-2</v>
      </c>
      <c r="N105" s="5">
        <f t="shared" si="7"/>
        <v>0</v>
      </c>
      <c r="O105" s="3">
        <f t="shared" si="5"/>
        <v>0.22932651321398123</v>
      </c>
      <c r="P105" s="8">
        <v>14</v>
      </c>
      <c r="Q105" s="7">
        <f t="shared" si="6"/>
        <v>1.6380465229570089E-2</v>
      </c>
    </row>
    <row r="106" spans="1:17" x14ac:dyDescent="0.35">
      <c r="A106" s="4" t="s">
        <v>23</v>
      </c>
      <c r="B106" s="4" t="s">
        <v>24</v>
      </c>
      <c r="C106" s="4" t="s">
        <v>20</v>
      </c>
      <c r="D106" s="4">
        <v>30</v>
      </c>
      <c r="E106" s="4" t="s">
        <v>9</v>
      </c>
      <c r="F106" s="4" t="s">
        <v>114</v>
      </c>
      <c r="G106" s="4" t="s">
        <v>62</v>
      </c>
      <c r="H106" s="4">
        <v>0.22</v>
      </c>
      <c r="I106" s="4" t="s">
        <v>63</v>
      </c>
      <c r="J106" s="4" t="s">
        <v>1</v>
      </c>
      <c r="K106" s="4">
        <v>11.73</v>
      </c>
      <c r="L106" s="7">
        <f t="shared" si="4"/>
        <v>1.8755328218243817E-2</v>
      </c>
      <c r="M106" s="9">
        <v>-3.0257186081694403E-3</v>
      </c>
      <c r="N106" s="5">
        <f t="shared" si="7"/>
        <v>0</v>
      </c>
      <c r="O106" s="3">
        <f t="shared" si="5"/>
        <v>1.8755328218243817E-2</v>
      </c>
      <c r="P106" s="8">
        <v>31</v>
      </c>
      <c r="Q106" s="7">
        <f t="shared" si="6"/>
        <v>6.0501058768528445E-4</v>
      </c>
    </row>
    <row r="107" spans="1:17" x14ac:dyDescent="0.35">
      <c r="A107" s="4" t="s">
        <v>23</v>
      </c>
      <c r="B107" s="4" t="s">
        <v>24</v>
      </c>
      <c r="C107" s="4" t="s">
        <v>20</v>
      </c>
      <c r="D107" s="4">
        <v>30</v>
      </c>
      <c r="E107" s="4" t="s">
        <v>9</v>
      </c>
      <c r="F107" s="4" t="s">
        <v>114</v>
      </c>
      <c r="G107" s="4" t="s">
        <v>21</v>
      </c>
      <c r="H107" s="4">
        <v>12.7</v>
      </c>
      <c r="I107" s="4" t="s">
        <v>22</v>
      </c>
      <c r="J107" s="4" t="s">
        <v>1</v>
      </c>
      <c r="K107" s="4">
        <v>14.49</v>
      </c>
      <c r="L107" s="7">
        <f t="shared" si="4"/>
        <v>0.87646652864044161</v>
      </c>
      <c r="M107" s="9">
        <v>5.4462934947049922E-2</v>
      </c>
      <c r="N107" s="5">
        <f t="shared" si="7"/>
        <v>5.4462934947049922E-2</v>
      </c>
      <c r="O107" s="3">
        <f t="shared" si="5"/>
        <v>0.82200359369339171</v>
      </c>
      <c r="P107" s="8">
        <v>12</v>
      </c>
      <c r="Q107" s="7">
        <f t="shared" si="6"/>
        <v>6.8500299474449314E-2</v>
      </c>
    </row>
    <row r="108" spans="1:17" x14ac:dyDescent="0.35">
      <c r="A108" s="4" t="s">
        <v>23</v>
      </c>
      <c r="B108" s="4" t="s">
        <v>24</v>
      </c>
      <c r="C108" s="4" t="s">
        <v>20</v>
      </c>
      <c r="D108" s="4">
        <v>30</v>
      </c>
      <c r="E108" s="4" t="s">
        <v>9</v>
      </c>
      <c r="F108" s="4" t="s">
        <v>114</v>
      </c>
      <c r="G108" s="4" t="s">
        <v>0</v>
      </c>
      <c r="H108" s="4">
        <v>0.91</v>
      </c>
      <c r="I108" s="4" t="s">
        <v>61</v>
      </c>
      <c r="J108" s="4" t="s">
        <v>1</v>
      </c>
      <c r="K108" s="4">
        <v>14.49</v>
      </c>
      <c r="L108" s="7">
        <f t="shared" si="4"/>
        <v>6.280193236714976E-2</v>
      </c>
      <c r="M108" s="9">
        <v>-4.3872919818456875E-2</v>
      </c>
      <c r="N108" s="5">
        <f t="shared" si="7"/>
        <v>0</v>
      </c>
      <c r="O108" s="3">
        <f t="shared" si="5"/>
        <v>6.280193236714976E-2</v>
      </c>
      <c r="P108" s="8">
        <v>14</v>
      </c>
      <c r="Q108" s="7">
        <f t="shared" si="6"/>
        <v>4.4858523119392689E-3</v>
      </c>
    </row>
    <row r="109" spans="1:17" x14ac:dyDescent="0.35">
      <c r="A109" s="4" t="s">
        <v>23</v>
      </c>
      <c r="B109" s="4" t="s">
        <v>24</v>
      </c>
      <c r="C109" s="4" t="s">
        <v>20</v>
      </c>
      <c r="D109" s="4">
        <v>30</v>
      </c>
      <c r="E109" s="4" t="s">
        <v>9</v>
      </c>
      <c r="F109" s="4" t="s">
        <v>114</v>
      </c>
      <c r="G109" s="4" t="s">
        <v>62</v>
      </c>
      <c r="H109" s="4">
        <v>0.15</v>
      </c>
      <c r="I109" s="4" t="s">
        <v>63</v>
      </c>
      <c r="J109" s="4" t="s">
        <v>1</v>
      </c>
      <c r="K109" s="4">
        <v>14.49</v>
      </c>
      <c r="L109" s="7">
        <f t="shared" si="4"/>
        <v>1.0351966873706004E-2</v>
      </c>
      <c r="M109" s="9">
        <v>-3.0257186081694403E-3</v>
      </c>
      <c r="N109" s="5">
        <f t="shared" si="7"/>
        <v>0</v>
      </c>
      <c r="O109" s="3">
        <f t="shared" si="5"/>
        <v>1.0351966873706004E-2</v>
      </c>
      <c r="P109" s="8">
        <v>31</v>
      </c>
      <c r="Q109" s="7">
        <f t="shared" si="6"/>
        <v>3.3393441528083883E-4</v>
      </c>
    </row>
    <row r="110" spans="1:17" x14ac:dyDescent="0.35">
      <c r="A110" s="4" t="s">
        <v>58</v>
      </c>
      <c r="B110" s="4" t="s">
        <v>24</v>
      </c>
      <c r="C110" s="4" t="s">
        <v>20</v>
      </c>
      <c r="D110" s="4">
        <v>30</v>
      </c>
      <c r="E110" s="4" t="s">
        <v>9</v>
      </c>
      <c r="F110" s="4" t="s">
        <v>117</v>
      </c>
      <c r="G110" s="4" t="s">
        <v>21</v>
      </c>
      <c r="H110" s="4">
        <v>25.58</v>
      </c>
      <c r="I110" s="4" t="s">
        <v>22</v>
      </c>
      <c r="J110" s="4" t="s">
        <v>1</v>
      </c>
      <c r="K110" s="4">
        <v>13.94</v>
      </c>
      <c r="L110" s="7">
        <f t="shared" si="4"/>
        <v>1.8350071736011477</v>
      </c>
      <c r="M110" s="9">
        <v>0.10753676470588235</v>
      </c>
      <c r="N110" s="5">
        <f t="shared" si="7"/>
        <v>0.10753676470588235</v>
      </c>
      <c r="O110" s="3">
        <f t="shared" si="5"/>
        <v>1.7274704088952655</v>
      </c>
      <c r="P110" s="8">
        <v>12</v>
      </c>
      <c r="Q110" s="7">
        <f t="shared" si="6"/>
        <v>0.14395586740793878</v>
      </c>
    </row>
    <row r="111" spans="1:17" x14ac:dyDescent="0.35">
      <c r="A111" s="4" t="s">
        <v>58</v>
      </c>
      <c r="B111" s="4" t="s">
        <v>24</v>
      </c>
      <c r="C111" s="4" t="s">
        <v>20</v>
      </c>
      <c r="D111" s="4">
        <v>30</v>
      </c>
      <c r="E111" s="4" t="s">
        <v>9</v>
      </c>
      <c r="F111" s="4" t="s">
        <v>117</v>
      </c>
      <c r="G111" s="4" t="s">
        <v>0</v>
      </c>
      <c r="H111" s="4">
        <v>1.24</v>
      </c>
      <c r="I111" s="4" t="s">
        <v>61</v>
      </c>
      <c r="J111" s="4" t="s">
        <v>1</v>
      </c>
      <c r="K111" s="4">
        <v>13.94</v>
      </c>
      <c r="L111" s="7">
        <f t="shared" si="4"/>
        <v>8.8952654232424683E-2</v>
      </c>
      <c r="M111" s="9">
        <v>-0.10661764705882351</v>
      </c>
      <c r="N111" s="5">
        <f t="shared" si="7"/>
        <v>0</v>
      </c>
      <c r="O111" s="3">
        <f t="shared" si="5"/>
        <v>8.8952654232424683E-2</v>
      </c>
      <c r="P111" s="8">
        <v>14</v>
      </c>
      <c r="Q111" s="7">
        <f t="shared" si="6"/>
        <v>6.3537610166017628E-3</v>
      </c>
    </row>
    <row r="112" spans="1:17" x14ac:dyDescent="0.35">
      <c r="A112" s="4" t="s">
        <v>58</v>
      </c>
      <c r="B112" s="4" t="s">
        <v>24</v>
      </c>
      <c r="C112" s="4" t="s">
        <v>20</v>
      </c>
      <c r="D112" s="4">
        <v>30</v>
      </c>
      <c r="E112" s="4" t="s">
        <v>9</v>
      </c>
      <c r="F112" s="4" t="s">
        <v>117</v>
      </c>
      <c r="G112" s="4" t="s">
        <v>62</v>
      </c>
      <c r="H112" s="4">
        <v>0.39</v>
      </c>
      <c r="I112" s="4" t="s">
        <v>63</v>
      </c>
      <c r="J112" s="4" t="s">
        <v>1</v>
      </c>
      <c r="K112" s="4">
        <v>13.94</v>
      </c>
      <c r="L112" s="7">
        <f t="shared" si="4"/>
        <v>2.797704447632712E-2</v>
      </c>
      <c r="M112" s="9">
        <v>9.1911764705882352E-4</v>
      </c>
      <c r="N112" s="5">
        <f t="shared" si="7"/>
        <v>9.1911764705882352E-4</v>
      </c>
      <c r="O112" s="3">
        <f t="shared" si="5"/>
        <v>2.7057926829268296E-2</v>
      </c>
      <c r="P112" s="8">
        <v>31</v>
      </c>
      <c r="Q112" s="7">
        <f t="shared" si="6"/>
        <v>8.7283634933123537E-4</v>
      </c>
    </row>
    <row r="113" spans="1:17" x14ac:dyDescent="0.35">
      <c r="A113" s="4" t="s">
        <v>58</v>
      </c>
      <c r="B113" s="4" t="s">
        <v>24</v>
      </c>
      <c r="C113" s="4" t="s">
        <v>20</v>
      </c>
      <c r="D113" s="4">
        <v>30</v>
      </c>
      <c r="E113" s="4" t="s">
        <v>9</v>
      </c>
      <c r="F113" s="4" t="s">
        <v>117</v>
      </c>
      <c r="G113" s="4" t="s">
        <v>21</v>
      </c>
      <c r="H113" s="4">
        <v>17.73</v>
      </c>
      <c r="I113" s="4" t="s">
        <v>22</v>
      </c>
      <c r="J113" s="4" t="s">
        <v>1</v>
      </c>
      <c r="K113" s="4">
        <v>13.49</v>
      </c>
      <c r="L113" s="7">
        <f t="shared" si="4"/>
        <v>1.3143068939955522</v>
      </c>
      <c r="M113" s="9">
        <v>0.10753676470588235</v>
      </c>
      <c r="N113" s="5">
        <f t="shared" si="7"/>
        <v>0.10753676470588235</v>
      </c>
      <c r="O113" s="3">
        <f t="shared" si="5"/>
        <v>1.20677012928967</v>
      </c>
      <c r="P113" s="8">
        <v>12</v>
      </c>
      <c r="Q113" s="7">
        <f t="shared" si="6"/>
        <v>0.10056417744080583</v>
      </c>
    </row>
    <row r="114" spans="1:17" x14ac:dyDescent="0.35">
      <c r="A114" s="4" t="s">
        <v>58</v>
      </c>
      <c r="B114" s="4" t="s">
        <v>24</v>
      </c>
      <c r="C114" s="4" t="s">
        <v>20</v>
      </c>
      <c r="D114" s="4">
        <v>30</v>
      </c>
      <c r="E114" s="4" t="s">
        <v>9</v>
      </c>
      <c r="F114" s="4" t="s">
        <v>117</v>
      </c>
      <c r="G114" s="4" t="s">
        <v>0</v>
      </c>
      <c r="H114" s="4">
        <v>1.19</v>
      </c>
      <c r="I114" s="4" t="s">
        <v>61</v>
      </c>
      <c r="J114" s="4" t="s">
        <v>1</v>
      </c>
      <c r="K114" s="4">
        <v>13.49</v>
      </c>
      <c r="L114" s="7">
        <f t="shared" si="4"/>
        <v>8.8213491475166786E-2</v>
      </c>
      <c r="M114" s="9">
        <v>-0.10661764705882351</v>
      </c>
      <c r="N114" s="5">
        <f t="shared" si="7"/>
        <v>0</v>
      </c>
      <c r="O114" s="3">
        <f t="shared" si="5"/>
        <v>8.8213491475166786E-2</v>
      </c>
      <c r="P114" s="8">
        <v>14</v>
      </c>
      <c r="Q114" s="7">
        <f t="shared" si="6"/>
        <v>6.3009636767976272E-3</v>
      </c>
    </row>
    <row r="115" spans="1:17" x14ac:dyDescent="0.35">
      <c r="A115" s="4" t="s">
        <v>58</v>
      </c>
      <c r="B115" s="4" t="s">
        <v>24</v>
      </c>
      <c r="C115" s="4" t="s">
        <v>20</v>
      </c>
      <c r="D115" s="4">
        <v>30</v>
      </c>
      <c r="E115" s="4" t="s">
        <v>9</v>
      </c>
      <c r="F115" s="4" t="s">
        <v>117</v>
      </c>
      <c r="G115" s="4" t="s">
        <v>62</v>
      </c>
      <c r="H115" s="4">
        <v>0.43</v>
      </c>
      <c r="I115" s="4" t="s">
        <v>63</v>
      </c>
      <c r="J115" s="4" t="s">
        <v>1</v>
      </c>
      <c r="K115" s="4">
        <v>13.49</v>
      </c>
      <c r="L115" s="7">
        <f t="shared" si="4"/>
        <v>3.1875463306152707E-2</v>
      </c>
      <c r="M115" s="9">
        <v>9.1911764705882352E-4</v>
      </c>
      <c r="N115" s="5">
        <f t="shared" si="7"/>
        <v>9.1911764705882352E-4</v>
      </c>
      <c r="O115" s="3">
        <f t="shared" si="5"/>
        <v>3.0956345659093883E-2</v>
      </c>
      <c r="P115" s="8">
        <v>31</v>
      </c>
      <c r="Q115" s="7">
        <f t="shared" si="6"/>
        <v>9.9859179545464145E-4</v>
      </c>
    </row>
    <row r="116" spans="1:17" x14ac:dyDescent="0.35">
      <c r="A116" s="4" t="s">
        <v>25</v>
      </c>
      <c r="B116" s="4" t="s">
        <v>24</v>
      </c>
      <c r="C116" s="4" t="s">
        <v>20</v>
      </c>
      <c r="D116" s="4">
        <v>30</v>
      </c>
      <c r="E116" s="4" t="s">
        <v>9</v>
      </c>
      <c r="F116" s="4" t="s">
        <v>114</v>
      </c>
      <c r="G116" s="4" t="s">
        <v>21</v>
      </c>
      <c r="H116" s="4">
        <v>21.48</v>
      </c>
      <c r="I116" s="4" t="s">
        <v>22</v>
      </c>
      <c r="J116" s="4" t="s">
        <v>1</v>
      </c>
      <c r="K116" s="4">
        <v>15.3</v>
      </c>
      <c r="L116" s="7">
        <f t="shared" si="4"/>
        <v>1.4039215686274509</v>
      </c>
      <c r="M116" s="9">
        <v>9.0692124105011929E-2</v>
      </c>
      <c r="N116" s="5">
        <f t="shared" si="7"/>
        <v>9.0692124105011929E-2</v>
      </c>
      <c r="O116" s="3">
        <f t="shared" si="5"/>
        <v>1.3132294445224391</v>
      </c>
      <c r="P116" s="8">
        <v>12</v>
      </c>
      <c r="Q116" s="7">
        <f t="shared" si="6"/>
        <v>0.10943578704353658</v>
      </c>
    </row>
    <row r="117" spans="1:17" x14ac:dyDescent="0.35">
      <c r="A117" s="4" t="s">
        <v>25</v>
      </c>
      <c r="B117" s="4" t="s">
        <v>24</v>
      </c>
      <c r="C117" s="4" t="s">
        <v>20</v>
      </c>
      <c r="D117" s="4">
        <v>30</v>
      </c>
      <c r="E117" s="4" t="s">
        <v>9</v>
      </c>
      <c r="F117" s="4" t="s">
        <v>114</v>
      </c>
      <c r="G117" s="4" t="s">
        <v>0</v>
      </c>
      <c r="H117" s="4">
        <v>3.07</v>
      </c>
      <c r="I117" s="4" t="s">
        <v>61</v>
      </c>
      <c r="J117" s="4" t="s">
        <v>1</v>
      </c>
      <c r="K117" s="4">
        <v>15.3</v>
      </c>
      <c r="L117" s="7">
        <f t="shared" si="4"/>
        <v>0.20065359477124181</v>
      </c>
      <c r="M117" s="9">
        <v>-0.11933174224343675</v>
      </c>
      <c r="N117" s="5">
        <f t="shared" si="7"/>
        <v>0</v>
      </c>
      <c r="O117" s="3">
        <f t="shared" si="5"/>
        <v>0.20065359477124181</v>
      </c>
      <c r="P117" s="8">
        <v>14</v>
      </c>
      <c r="Q117" s="7">
        <f t="shared" si="6"/>
        <v>1.4332399626517273E-2</v>
      </c>
    </row>
    <row r="118" spans="1:17" x14ac:dyDescent="0.35">
      <c r="A118" s="4" t="s">
        <v>25</v>
      </c>
      <c r="B118" s="4" t="s">
        <v>24</v>
      </c>
      <c r="C118" s="4" t="s">
        <v>20</v>
      </c>
      <c r="D118" s="4">
        <v>30</v>
      </c>
      <c r="E118" s="4" t="s">
        <v>9</v>
      </c>
      <c r="F118" s="4" t="s">
        <v>114</v>
      </c>
      <c r="G118" s="4" t="s">
        <v>62</v>
      </c>
      <c r="H118" s="4">
        <v>0.4</v>
      </c>
      <c r="I118" s="4" t="s">
        <v>63</v>
      </c>
      <c r="J118" s="4" t="s">
        <v>1</v>
      </c>
      <c r="K118" s="4">
        <v>15.3</v>
      </c>
      <c r="L118" s="7">
        <f t="shared" si="4"/>
        <v>2.6143790849673203E-2</v>
      </c>
      <c r="M118" s="9">
        <v>5.5688146380270488E-3</v>
      </c>
      <c r="N118" s="5">
        <f t="shared" si="7"/>
        <v>5.5688146380270488E-3</v>
      </c>
      <c r="O118" s="3">
        <f t="shared" si="5"/>
        <v>2.0574976211646154E-2</v>
      </c>
      <c r="P118" s="8">
        <v>31</v>
      </c>
      <c r="Q118" s="7">
        <f t="shared" si="6"/>
        <v>6.6370891005310172E-4</v>
      </c>
    </row>
    <row r="119" spans="1:17" x14ac:dyDescent="0.35">
      <c r="A119" s="4" t="s">
        <v>25</v>
      </c>
      <c r="B119" s="4" t="s">
        <v>24</v>
      </c>
      <c r="C119" s="4" t="s">
        <v>20</v>
      </c>
      <c r="D119" s="4">
        <v>30</v>
      </c>
      <c r="E119" s="4" t="s">
        <v>9</v>
      </c>
      <c r="F119" s="4" t="s">
        <v>114</v>
      </c>
      <c r="G119" s="4" t="s">
        <v>21</v>
      </c>
      <c r="H119" s="4">
        <v>22.32</v>
      </c>
      <c r="I119" s="4" t="s">
        <v>22</v>
      </c>
      <c r="J119" s="4" t="s">
        <v>1</v>
      </c>
      <c r="K119" s="4">
        <v>9.75</v>
      </c>
      <c r="L119" s="7">
        <f t="shared" si="4"/>
        <v>2.2892307692307692</v>
      </c>
      <c r="M119" s="9">
        <v>9.0692124105011929E-2</v>
      </c>
      <c r="N119" s="5">
        <f t="shared" si="7"/>
        <v>9.0692124105011929E-2</v>
      </c>
      <c r="O119" s="3">
        <f t="shared" si="5"/>
        <v>2.1985386451257574</v>
      </c>
      <c r="P119" s="8">
        <v>12</v>
      </c>
      <c r="Q119" s="7">
        <f t="shared" si="6"/>
        <v>0.18321155376047979</v>
      </c>
    </row>
    <row r="120" spans="1:17" x14ac:dyDescent="0.35">
      <c r="A120" s="4" t="s">
        <v>25</v>
      </c>
      <c r="B120" s="4" t="s">
        <v>24</v>
      </c>
      <c r="C120" s="4" t="s">
        <v>20</v>
      </c>
      <c r="D120" s="4">
        <v>30</v>
      </c>
      <c r="E120" s="4" t="s">
        <v>9</v>
      </c>
      <c r="F120" s="4" t="s">
        <v>114</v>
      </c>
      <c r="G120" s="4" t="s">
        <v>0</v>
      </c>
      <c r="H120" s="4">
        <v>2.08</v>
      </c>
      <c r="I120" s="4" t="s">
        <v>61</v>
      </c>
      <c r="J120" s="4" t="s">
        <v>1</v>
      </c>
      <c r="K120" s="4">
        <v>9.75</v>
      </c>
      <c r="L120" s="7">
        <f t="shared" si="4"/>
        <v>0.21333333333333335</v>
      </c>
      <c r="M120" s="9">
        <v>-0.11933174224343675</v>
      </c>
      <c r="N120" s="5">
        <f t="shared" si="7"/>
        <v>0</v>
      </c>
      <c r="O120" s="3">
        <f t="shared" si="5"/>
        <v>0.21333333333333335</v>
      </c>
      <c r="P120" s="8">
        <v>14</v>
      </c>
      <c r="Q120" s="7">
        <f t="shared" si="6"/>
        <v>1.523809523809524E-2</v>
      </c>
    </row>
    <row r="121" spans="1:17" x14ac:dyDescent="0.35">
      <c r="A121" s="4" t="s">
        <v>25</v>
      </c>
      <c r="B121" s="4" t="s">
        <v>24</v>
      </c>
      <c r="C121" s="4" t="s">
        <v>20</v>
      </c>
      <c r="D121" s="4">
        <v>30</v>
      </c>
      <c r="E121" s="4" t="s">
        <v>9</v>
      </c>
      <c r="F121" s="4" t="s">
        <v>114</v>
      </c>
      <c r="G121" s="4" t="s">
        <v>62</v>
      </c>
      <c r="H121" s="4">
        <v>0.5</v>
      </c>
      <c r="I121" s="4" t="s">
        <v>63</v>
      </c>
      <c r="J121" s="4" t="s">
        <v>1</v>
      </c>
      <c r="K121" s="4">
        <v>9.75</v>
      </c>
      <c r="L121" s="7">
        <f t="shared" si="4"/>
        <v>5.128205128205128E-2</v>
      </c>
      <c r="M121" s="9">
        <v>5.5688146380270488E-3</v>
      </c>
      <c r="N121" s="5">
        <f t="shared" si="7"/>
        <v>5.5688146380270488E-3</v>
      </c>
      <c r="O121" s="3">
        <f t="shared" si="5"/>
        <v>4.5713236644024234E-2</v>
      </c>
      <c r="P121" s="8">
        <v>31</v>
      </c>
      <c r="Q121" s="7">
        <f t="shared" si="6"/>
        <v>1.4746205369040076E-3</v>
      </c>
    </row>
    <row r="122" spans="1:17" x14ac:dyDescent="0.35">
      <c r="A122" s="4" t="s">
        <v>26</v>
      </c>
      <c r="B122" s="4" t="s">
        <v>24</v>
      </c>
      <c r="C122" s="4" t="s">
        <v>20</v>
      </c>
      <c r="D122" s="4">
        <v>30</v>
      </c>
      <c r="E122" s="4" t="s">
        <v>9</v>
      </c>
      <c r="F122" s="4" t="s">
        <v>114</v>
      </c>
      <c r="G122" s="4" t="s">
        <v>21</v>
      </c>
      <c r="H122" s="4">
        <v>19.75</v>
      </c>
      <c r="I122" s="4" t="s">
        <v>22</v>
      </c>
      <c r="J122" s="4" t="s">
        <v>1</v>
      </c>
      <c r="K122" s="4">
        <v>15.08</v>
      </c>
      <c r="L122" s="7">
        <f t="shared" si="4"/>
        <v>1.3096816976127321</v>
      </c>
      <c r="M122" s="9">
        <v>0.1729055258467023</v>
      </c>
      <c r="N122" s="5">
        <f t="shared" si="7"/>
        <v>0.1729055258467023</v>
      </c>
      <c r="O122" s="3">
        <f t="shared" si="5"/>
        <v>1.1367761717660299</v>
      </c>
      <c r="P122" s="8">
        <v>12</v>
      </c>
      <c r="Q122" s="7">
        <f t="shared" si="6"/>
        <v>9.4731347647169159E-2</v>
      </c>
    </row>
    <row r="123" spans="1:17" x14ac:dyDescent="0.35">
      <c r="A123" s="4" t="s">
        <v>26</v>
      </c>
      <c r="B123" s="4" t="s">
        <v>24</v>
      </c>
      <c r="C123" s="4" t="s">
        <v>20</v>
      </c>
      <c r="D123" s="4">
        <v>30</v>
      </c>
      <c r="E123" s="4" t="s">
        <v>9</v>
      </c>
      <c r="F123" s="4" t="s">
        <v>114</v>
      </c>
      <c r="G123" s="4" t="s">
        <v>0</v>
      </c>
      <c r="H123" s="4">
        <v>1.73</v>
      </c>
      <c r="I123" s="4" t="s">
        <v>61</v>
      </c>
      <c r="J123" s="4" t="s">
        <v>1</v>
      </c>
      <c r="K123" s="4">
        <v>15.08</v>
      </c>
      <c r="L123" s="7">
        <f t="shared" si="4"/>
        <v>0.11472148541114058</v>
      </c>
      <c r="M123" s="9">
        <v>-9.7147950089126564E-2</v>
      </c>
      <c r="N123" s="5">
        <f t="shared" si="7"/>
        <v>0</v>
      </c>
      <c r="O123" s="3">
        <f t="shared" si="5"/>
        <v>0.11472148541114058</v>
      </c>
      <c r="P123" s="8">
        <v>14</v>
      </c>
      <c r="Q123" s="7">
        <f t="shared" si="6"/>
        <v>8.1943918150814699E-3</v>
      </c>
    </row>
    <row r="124" spans="1:17" x14ac:dyDescent="0.35">
      <c r="A124" s="4" t="s">
        <v>26</v>
      </c>
      <c r="B124" s="4" t="s">
        <v>24</v>
      </c>
      <c r="C124" s="4" t="s">
        <v>20</v>
      </c>
      <c r="D124" s="4">
        <v>30</v>
      </c>
      <c r="E124" s="4" t="s">
        <v>9</v>
      </c>
      <c r="F124" s="4" t="s">
        <v>114</v>
      </c>
      <c r="G124" s="4" t="s">
        <v>62</v>
      </c>
      <c r="H124" s="4">
        <v>0.38</v>
      </c>
      <c r="I124" s="4" t="s">
        <v>63</v>
      </c>
      <c r="J124" s="4" t="s">
        <v>1</v>
      </c>
      <c r="K124" s="4">
        <v>15.08</v>
      </c>
      <c r="L124" s="7">
        <f t="shared" si="4"/>
        <v>2.5198938992042442E-2</v>
      </c>
      <c r="M124" s="9">
        <v>6.2388591800356507E-3</v>
      </c>
      <c r="N124" s="5">
        <f t="shared" si="7"/>
        <v>6.2388591800356507E-3</v>
      </c>
      <c r="O124" s="3">
        <f t="shared" si="5"/>
        <v>1.8960079812006793E-2</v>
      </c>
      <c r="P124" s="8">
        <v>31</v>
      </c>
      <c r="Q124" s="7">
        <f t="shared" si="6"/>
        <v>6.1161547780667078E-4</v>
      </c>
    </row>
    <row r="125" spans="1:17" x14ac:dyDescent="0.35">
      <c r="A125" s="4" t="s">
        <v>26</v>
      </c>
      <c r="B125" s="4" t="s">
        <v>24</v>
      </c>
      <c r="C125" s="4" t="s">
        <v>20</v>
      </c>
      <c r="D125" s="4">
        <v>30</v>
      </c>
      <c r="E125" s="4" t="s">
        <v>9</v>
      </c>
      <c r="F125" s="4" t="s">
        <v>114</v>
      </c>
      <c r="G125" s="4" t="s">
        <v>21</v>
      </c>
      <c r="H125" s="4">
        <v>20.86</v>
      </c>
      <c r="I125" s="4" t="s">
        <v>22</v>
      </c>
      <c r="J125" s="4" t="s">
        <v>1</v>
      </c>
      <c r="K125" s="4">
        <v>16.68</v>
      </c>
      <c r="L125" s="7">
        <f t="shared" si="4"/>
        <v>1.250599520383693</v>
      </c>
      <c r="M125" s="9">
        <v>0.1729055258467023</v>
      </c>
      <c r="N125" s="5">
        <f t="shared" si="7"/>
        <v>0.1729055258467023</v>
      </c>
      <c r="O125" s="3">
        <f t="shared" si="5"/>
        <v>1.0776939945369908</v>
      </c>
      <c r="P125" s="8">
        <v>12</v>
      </c>
      <c r="Q125" s="7">
        <f t="shared" si="6"/>
        <v>8.9807832878082569E-2</v>
      </c>
    </row>
    <row r="126" spans="1:17" x14ac:dyDescent="0.35">
      <c r="A126" s="4" t="s">
        <v>26</v>
      </c>
      <c r="B126" s="4" t="s">
        <v>24</v>
      </c>
      <c r="C126" s="4" t="s">
        <v>20</v>
      </c>
      <c r="D126" s="4">
        <v>30</v>
      </c>
      <c r="E126" s="4" t="s">
        <v>9</v>
      </c>
      <c r="F126" s="4" t="s">
        <v>114</v>
      </c>
      <c r="G126" s="4" t="s">
        <v>0</v>
      </c>
      <c r="H126" s="4">
        <v>2</v>
      </c>
      <c r="I126" s="4" t="s">
        <v>61</v>
      </c>
      <c r="J126" s="4" t="s">
        <v>1</v>
      </c>
      <c r="K126" s="4">
        <v>16.68</v>
      </c>
      <c r="L126" s="7">
        <f t="shared" si="4"/>
        <v>0.11990407673860912</v>
      </c>
      <c r="M126" s="9">
        <v>-9.7147950089126564E-2</v>
      </c>
      <c r="N126" s="5">
        <f t="shared" si="7"/>
        <v>0</v>
      </c>
      <c r="O126" s="3">
        <f t="shared" si="5"/>
        <v>0.11990407673860912</v>
      </c>
      <c r="P126" s="8">
        <v>14</v>
      </c>
      <c r="Q126" s="7">
        <f t="shared" si="6"/>
        <v>8.5645769099006504E-3</v>
      </c>
    </row>
    <row r="127" spans="1:17" x14ac:dyDescent="0.35">
      <c r="A127" s="4" t="s">
        <v>26</v>
      </c>
      <c r="B127" s="4" t="s">
        <v>24</v>
      </c>
      <c r="C127" s="4" t="s">
        <v>20</v>
      </c>
      <c r="D127" s="4">
        <v>30</v>
      </c>
      <c r="E127" s="4" t="s">
        <v>9</v>
      </c>
      <c r="F127" s="4" t="s">
        <v>114</v>
      </c>
      <c r="G127" s="4" t="s">
        <v>62</v>
      </c>
      <c r="H127" s="4">
        <v>0.51</v>
      </c>
      <c r="I127" s="4" t="s">
        <v>63</v>
      </c>
      <c r="J127" s="4" t="s">
        <v>1</v>
      </c>
      <c r="K127" s="4">
        <v>16.68</v>
      </c>
      <c r="L127" s="7">
        <f t="shared" si="4"/>
        <v>3.0575539568345324E-2</v>
      </c>
      <c r="M127" s="9">
        <v>6.2388591800356507E-3</v>
      </c>
      <c r="N127" s="5">
        <f t="shared" si="7"/>
        <v>6.2388591800356507E-3</v>
      </c>
      <c r="O127" s="3">
        <f t="shared" si="5"/>
        <v>2.4336680388309676E-2</v>
      </c>
      <c r="P127" s="8">
        <v>31</v>
      </c>
      <c r="Q127" s="7">
        <f t="shared" si="6"/>
        <v>7.8505420607450564E-4</v>
      </c>
    </row>
    <row r="128" spans="1:17" x14ac:dyDescent="0.35">
      <c r="A128" s="4" t="s">
        <v>27</v>
      </c>
      <c r="B128" s="4" t="s">
        <v>24</v>
      </c>
      <c r="C128" s="4" t="s">
        <v>20</v>
      </c>
      <c r="D128" s="4">
        <v>30</v>
      </c>
      <c r="E128" s="4" t="s">
        <v>9</v>
      </c>
      <c r="F128" s="4" t="s">
        <v>114</v>
      </c>
      <c r="G128" s="4" t="s">
        <v>21</v>
      </c>
      <c r="H128" s="4">
        <v>12.48</v>
      </c>
      <c r="I128" s="4" t="s">
        <v>22</v>
      </c>
      <c r="J128" s="4" t="s">
        <v>1</v>
      </c>
      <c r="K128" s="4">
        <v>13.64</v>
      </c>
      <c r="L128" s="7">
        <f t="shared" si="4"/>
        <v>0.91495601173020524</v>
      </c>
      <c r="M128" s="9">
        <v>6.3151796060254922E-2</v>
      </c>
      <c r="N128" s="5">
        <f t="shared" si="7"/>
        <v>6.3151796060254922E-2</v>
      </c>
      <c r="O128" s="3">
        <f t="shared" si="5"/>
        <v>0.85180421566995035</v>
      </c>
      <c r="P128" s="8">
        <v>12</v>
      </c>
      <c r="Q128" s="7">
        <f t="shared" si="6"/>
        <v>7.0983684639162534E-2</v>
      </c>
    </row>
    <row r="129" spans="1:17" x14ac:dyDescent="0.35">
      <c r="A129" s="4" t="s">
        <v>27</v>
      </c>
      <c r="B129" s="4" t="s">
        <v>24</v>
      </c>
      <c r="C129" s="4" t="s">
        <v>20</v>
      </c>
      <c r="D129" s="4">
        <v>30</v>
      </c>
      <c r="E129" s="4" t="s">
        <v>9</v>
      </c>
      <c r="F129" s="4" t="s">
        <v>114</v>
      </c>
      <c r="G129" s="4" t="s">
        <v>0</v>
      </c>
      <c r="H129" s="4">
        <v>-0.36</v>
      </c>
      <c r="I129" s="4" t="s">
        <v>61</v>
      </c>
      <c r="J129" s="4" t="s">
        <v>1</v>
      </c>
      <c r="K129" s="4">
        <v>13.64</v>
      </c>
      <c r="L129" s="7">
        <f t="shared" si="4"/>
        <v>-2.6392961876832842E-2</v>
      </c>
      <c r="M129" s="9">
        <v>-7.7636152954808801E-2</v>
      </c>
      <c r="N129" s="5">
        <f t="shared" si="7"/>
        <v>0</v>
      </c>
      <c r="O129" s="3">
        <f t="shared" si="5"/>
        <v>-2.6392961876832842E-2</v>
      </c>
      <c r="P129" s="8">
        <v>14</v>
      </c>
      <c r="Q129" s="7">
        <f t="shared" si="6"/>
        <v>-1.8852115626309173E-3</v>
      </c>
    </row>
    <row r="130" spans="1:17" x14ac:dyDescent="0.35">
      <c r="A130" s="4" t="s">
        <v>27</v>
      </c>
      <c r="B130" s="4" t="s">
        <v>24</v>
      </c>
      <c r="C130" s="4" t="s">
        <v>20</v>
      </c>
      <c r="D130" s="4">
        <v>30</v>
      </c>
      <c r="E130" s="4" t="s">
        <v>9</v>
      </c>
      <c r="F130" s="4" t="s">
        <v>114</v>
      </c>
      <c r="G130" s="4" t="s">
        <v>62</v>
      </c>
      <c r="H130" s="4">
        <v>0.23</v>
      </c>
      <c r="I130" s="4" t="s">
        <v>63</v>
      </c>
      <c r="J130" s="4" t="s">
        <v>1</v>
      </c>
      <c r="K130" s="4">
        <v>13.64</v>
      </c>
      <c r="L130" s="7">
        <f t="shared" si="4"/>
        <v>1.6862170087976538E-2</v>
      </c>
      <c r="M130" s="9">
        <v>-1.1587485515643105E-3</v>
      </c>
      <c r="N130" s="5">
        <f t="shared" si="7"/>
        <v>0</v>
      </c>
      <c r="O130" s="3">
        <f t="shared" si="5"/>
        <v>1.6862170087976538E-2</v>
      </c>
      <c r="P130" s="8">
        <v>31</v>
      </c>
      <c r="Q130" s="7">
        <f t="shared" si="6"/>
        <v>5.439409705798883E-4</v>
      </c>
    </row>
    <row r="131" spans="1:17" x14ac:dyDescent="0.35">
      <c r="A131" s="4" t="s">
        <v>27</v>
      </c>
      <c r="B131" s="4" t="s">
        <v>24</v>
      </c>
      <c r="C131" s="4" t="s">
        <v>20</v>
      </c>
      <c r="D131" s="4">
        <v>30</v>
      </c>
      <c r="E131" s="4" t="s">
        <v>9</v>
      </c>
      <c r="F131" s="4" t="s">
        <v>114</v>
      </c>
      <c r="G131" s="4" t="s">
        <v>21</v>
      </c>
      <c r="H131" s="4">
        <v>11.55</v>
      </c>
      <c r="I131" s="4" t="s">
        <v>22</v>
      </c>
      <c r="J131" s="4" t="s">
        <v>1</v>
      </c>
      <c r="K131" s="4">
        <v>19.350000000000001</v>
      </c>
      <c r="L131" s="7">
        <f t="shared" ref="L131:L194" si="8">H131/K131</f>
        <v>0.5968992248062015</v>
      </c>
      <c r="M131" s="9">
        <v>6.3151796060254922E-2</v>
      </c>
      <c r="N131" s="5">
        <f t="shared" si="7"/>
        <v>6.3151796060254922E-2</v>
      </c>
      <c r="O131" s="3">
        <f t="shared" ref="O131:O194" si="9">L131-N131</f>
        <v>0.53374742874594661</v>
      </c>
      <c r="P131" s="8">
        <v>12</v>
      </c>
      <c r="Q131" s="7">
        <f t="shared" ref="Q131:Q194" si="10">O131/P131</f>
        <v>4.4478952395495548E-2</v>
      </c>
    </row>
    <row r="132" spans="1:17" x14ac:dyDescent="0.35">
      <c r="A132" s="4" t="s">
        <v>27</v>
      </c>
      <c r="B132" s="4" t="s">
        <v>24</v>
      </c>
      <c r="C132" s="4" t="s">
        <v>20</v>
      </c>
      <c r="D132" s="4">
        <v>30</v>
      </c>
      <c r="E132" s="4" t="s">
        <v>9</v>
      </c>
      <c r="F132" s="4" t="s">
        <v>114</v>
      </c>
      <c r="G132" s="4" t="s">
        <v>0</v>
      </c>
      <c r="H132" s="4">
        <v>-0.48</v>
      </c>
      <c r="I132" s="4" t="s">
        <v>61</v>
      </c>
      <c r="J132" s="4" t="s">
        <v>1</v>
      </c>
      <c r="K132" s="4">
        <v>19.350000000000001</v>
      </c>
      <c r="L132" s="7">
        <f t="shared" si="8"/>
        <v>-2.4806201550387593E-2</v>
      </c>
      <c r="M132" s="9">
        <v>-7.7636152954808801E-2</v>
      </c>
      <c r="N132" s="5">
        <f t="shared" ref="N132:N195" si="11">IF(M132&lt;0,0,M132)</f>
        <v>0</v>
      </c>
      <c r="O132" s="3">
        <f t="shared" si="9"/>
        <v>-2.4806201550387593E-2</v>
      </c>
      <c r="P132" s="8">
        <v>14</v>
      </c>
      <c r="Q132" s="7">
        <f t="shared" si="10"/>
        <v>-1.7718715393133994E-3</v>
      </c>
    </row>
    <row r="133" spans="1:17" x14ac:dyDescent="0.35">
      <c r="A133" s="4" t="s">
        <v>27</v>
      </c>
      <c r="B133" s="4" t="s">
        <v>24</v>
      </c>
      <c r="C133" s="4" t="s">
        <v>20</v>
      </c>
      <c r="D133" s="4">
        <v>30</v>
      </c>
      <c r="E133" s="4" t="s">
        <v>9</v>
      </c>
      <c r="F133" s="4" t="s">
        <v>114</v>
      </c>
      <c r="G133" s="4" t="s">
        <v>62</v>
      </c>
      <c r="H133" s="4">
        <v>0.2</v>
      </c>
      <c r="I133" s="4" t="s">
        <v>63</v>
      </c>
      <c r="J133" s="4" t="s">
        <v>1</v>
      </c>
      <c r="K133" s="4">
        <v>19.350000000000001</v>
      </c>
      <c r="L133" s="7">
        <f t="shared" si="8"/>
        <v>1.0335917312661499E-2</v>
      </c>
      <c r="M133" s="9">
        <v>-1.1587485515643105E-3</v>
      </c>
      <c r="N133" s="5">
        <f t="shared" si="11"/>
        <v>0</v>
      </c>
      <c r="O133" s="3">
        <f t="shared" si="9"/>
        <v>1.0335917312661499E-2</v>
      </c>
      <c r="P133" s="8">
        <v>31</v>
      </c>
      <c r="Q133" s="7">
        <f t="shared" si="10"/>
        <v>3.3341668750520967E-4</v>
      </c>
    </row>
    <row r="134" spans="1:17" x14ac:dyDescent="0.35">
      <c r="A134" s="4" t="s">
        <v>28</v>
      </c>
      <c r="B134" s="4" t="s">
        <v>24</v>
      </c>
      <c r="C134" s="4" t="s">
        <v>20</v>
      </c>
      <c r="D134" s="4">
        <v>30</v>
      </c>
      <c r="E134" s="4" t="s">
        <v>9</v>
      </c>
      <c r="F134" s="4" t="s">
        <v>114</v>
      </c>
      <c r="G134" s="4" t="s">
        <v>21</v>
      </c>
      <c r="H134" s="4">
        <v>20.67</v>
      </c>
      <c r="I134" s="4" t="s">
        <v>22</v>
      </c>
      <c r="J134" s="4" t="s">
        <v>1</v>
      </c>
      <c r="K134" s="4">
        <v>14.02</v>
      </c>
      <c r="L134" s="7">
        <f t="shared" si="8"/>
        <v>1.4743223965763197</v>
      </c>
      <c r="M134" s="9">
        <v>0.64250814332247552</v>
      </c>
      <c r="N134" s="5">
        <f t="shared" si="11"/>
        <v>0.64250814332247552</v>
      </c>
      <c r="O134" s="3">
        <f t="shared" si="9"/>
        <v>0.83181425325384417</v>
      </c>
      <c r="P134" s="8">
        <v>12</v>
      </c>
      <c r="Q134" s="7">
        <f t="shared" si="10"/>
        <v>6.9317854437820348E-2</v>
      </c>
    </row>
    <row r="135" spans="1:17" x14ac:dyDescent="0.35">
      <c r="A135" s="4" t="s">
        <v>28</v>
      </c>
      <c r="B135" s="4" t="s">
        <v>24</v>
      </c>
      <c r="C135" s="4" t="s">
        <v>20</v>
      </c>
      <c r="D135" s="4">
        <v>30</v>
      </c>
      <c r="E135" s="4" t="s">
        <v>9</v>
      </c>
      <c r="F135" s="4" t="s">
        <v>114</v>
      </c>
      <c r="G135" s="4" t="s">
        <v>0</v>
      </c>
      <c r="H135" s="4">
        <v>1.32</v>
      </c>
      <c r="I135" s="4" t="s">
        <v>61</v>
      </c>
      <c r="J135" s="4" t="s">
        <v>1</v>
      </c>
      <c r="K135" s="4">
        <v>14.02</v>
      </c>
      <c r="L135" s="7">
        <f t="shared" si="8"/>
        <v>9.4151212553495012E-2</v>
      </c>
      <c r="M135" s="9">
        <v>-2.8501628664495113E-2</v>
      </c>
      <c r="N135" s="5">
        <f t="shared" si="11"/>
        <v>0</v>
      </c>
      <c r="O135" s="3">
        <f t="shared" si="9"/>
        <v>9.4151212553495012E-2</v>
      </c>
      <c r="P135" s="8">
        <v>14</v>
      </c>
      <c r="Q135" s="7">
        <f t="shared" si="10"/>
        <v>6.7250866109639295E-3</v>
      </c>
    </row>
    <row r="136" spans="1:17" x14ac:dyDescent="0.35">
      <c r="A136" s="4" t="s">
        <v>28</v>
      </c>
      <c r="B136" s="4" t="s">
        <v>24</v>
      </c>
      <c r="C136" s="4" t="s">
        <v>20</v>
      </c>
      <c r="D136" s="4">
        <v>30</v>
      </c>
      <c r="E136" s="4" t="s">
        <v>9</v>
      </c>
      <c r="F136" s="4" t="s">
        <v>114</v>
      </c>
      <c r="G136" s="4" t="s">
        <v>62</v>
      </c>
      <c r="H136" s="4">
        <v>0.25</v>
      </c>
      <c r="I136" s="4" t="s">
        <v>63</v>
      </c>
      <c r="J136" s="4" t="s">
        <v>1</v>
      </c>
      <c r="K136" s="4">
        <v>14.02</v>
      </c>
      <c r="L136" s="7">
        <f t="shared" si="8"/>
        <v>1.783166904422254E-2</v>
      </c>
      <c r="M136" s="9">
        <v>-8.1433224755700329E-4</v>
      </c>
      <c r="N136" s="5">
        <f t="shared" si="11"/>
        <v>0</v>
      </c>
      <c r="O136" s="3">
        <f t="shared" si="9"/>
        <v>1.783166904422254E-2</v>
      </c>
      <c r="P136" s="8">
        <v>31</v>
      </c>
      <c r="Q136" s="7">
        <f t="shared" si="10"/>
        <v>5.7521513045879157E-4</v>
      </c>
    </row>
    <row r="137" spans="1:17" x14ac:dyDescent="0.35">
      <c r="A137" s="4" t="s">
        <v>28</v>
      </c>
      <c r="B137" s="4" t="s">
        <v>24</v>
      </c>
      <c r="C137" s="4" t="s">
        <v>20</v>
      </c>
      <c r="D137" s="4">
        <v>30</v>
      </c>
      <c r="E137" s="4" t="s">
        <v>9</v>
      </c>
      <c r="F137" s="4" t="s">
        <v>114</v>
      </c>
      <c r="G137" s="4" t="s">
        <v>21</v>
      </c>
      <c r="H137" s="4">
        <v>20.329999999999998</v>
      </c>
      <c r="I137" s="4" t="s">
        <v>22</v>
      </c>
      <c r="J137" s="4" t="s">
        <v>1</v>
      </c>
      <c r="K137" s="4">
        <v>13.68</v>
      </c>
      <c r="L137" s="7">
        <f t="shared" si="8"/>
        <v>1.4861111111111109</v>
      </c>
      <c r="M137" s="9">
        <v>0.64250814332247552</v>
      </c>
      <c r="N137" s="5">
        <f t="shared" si="11"/>
        <v>0.64250814332247552</v>
      </c>
      <c r="O137" s="3">
        <f t="shared" si="9"/>
        <v>0.84360296778863542</v>
      </c>
      <c r="P137" s="8">
        <v>12</v>
      </c>
      <c r="Q137" s="7">
        <f t="shared" si="10"/>
        <v>7.0300247315719613E-2</v>
      </c>
    </row>
    <row r="138" spans="1:17" x14ac:dyDescent="0.35">
      <c r="A138" s="4" t="s">
        <v>28</v>
      </c>
      <c r="B138" s="4" t="s">
        <v>24</v>
      </c>
      <c r="C138" s="4" t="s">
        <v>20</v>
      </c>
      <c r="D138" s="4">
        <v>30</v>
      </c>
      <c r="E138" s="4" t="s">
        <v>9</v>
      </c>
      <c r="F138" s="4" t="s">
        <v>114</v>
      </c>
      <c r="G138" s="4" t="s">
        <v>0</v>
      </c>
      <c r="H138" s="4">
        <v>0.7</v>
      </c>
      <c r="I138" s="4" t="s">
        <v>61</v>
      </c>
      <c r="J138" s="4" t="s">
        <v>1</v>
      </c>
      <c r="K138" s="4">
        <v>13.68</v>
      </c>
      <c r="L138" s="7">
        <f t="shared" si="8"/>
        <v>5.1169590643274851E-2</v>
      </c>
      <c r="M138" s="9">
        <v>-2.8501628664495113E-2</v>
      </c>
      <c r="N138" s="5">
        <f t="shared" si="11"/>
        <v>0</v>
      </c>
      <c r="O138" s="3">
        <f t="shared" si="9"/>
        <v>5.1169590643274851E-2</v>
      </c>
      <c r="P138" s="8">
        <v>14</v>
      </c>
      <c r="Q138" s="7">
        <f t="shared" si="10"/>
        <v>3.6549707602339179E-3</v>
      </c>
    </row>
    <row r="139" spans="1:17" x14ac:dyDescent="0.35">
      <c r="A139" s="4" t="s">
        <v>28</v>
      </c>
      <c r="B139" s="4" t="s">
        <v>24</v>
      </c>
      <c r="C139" s="4" t="s">
        <v>20</v>
      </c>
      <c r="D139" s="4">
        <v>30</v>
      </c>
      <c r="E139" s="4" t="s">
        <v>9</v>
      </c>
      <c r="F139" s="4" t="s">
        <v>114</v>
      </c>
      <c r="G139" s="4" t="s">
        <v>62</v>
      </c>
      <c r="H139" s="4">
        <v>0.23</v>
      </c>
      <c r="I139" s="4" t="s">
        <v>63</v>
      </c>
      <c r="J139" s="4" t="s">
        <v>1</v>
      </c>
      <c r="K139" s="4">
        <v>13.68</v>
      </c>
      <c r="L139" s="7">
        <f t="shared" si="8"/>
        <v>1.6812865497076026E-2</v>
      </c>
      <c r="M139" s="9">
        <v>-8.1433224755700329E-4</v>
      </c>
      <c r="N139" s="5">
        <f t="shared" si="11"/>
        <v>0</v>
      </c>
      <c r="O139" s="3">
        <f t="shared" si="9"/>
        <v>1.6812865497076026E-2</v>
      </c>
      <c r="P139" s="8">
        <v>31</v>
      </c>
      <c r="Q139" s="7">
        <f t="shared" si="10"/>
        <v>5.423504999056783E-4</v>
      </c>
    </row>
    <row r="140" spans="1:17" x14ac:dyDescent="0.35">
      <c r="A140" s="4" t="s">
        <v>84</v>
      </c>
      <c r="B140" s="4" t="s">
        <v>74</v>
      </c>
      <c r="C140" s="4" t="s">
        <v>20</v>
      </c>
      <c r="D140" s="4">
        <v>329</v>
      </c>
      <c r="E140" s="4" t="s">
        <v>10</v>
      </c>
      <c r="F140" s="4" t="s">
        <v>145</v>
      </c>
      <c r="G140" s="4" t="s">
        <v>21</v>
      </c>
      <c r="H140" s="4">
        <v>25.37</v>
      </c>
      <c r="I140" s="4" t="s">
        <v>22</v>
      </c>
      <c r="J140" s="4" t="s">
        <v>1</v>
      </c>
      <c r="K140" s="4">
        <v>13.53</v>
      </c>
      <c r="L140" s="7">
        <f t="shared" si="8"/>
        <v>1.8750923872875094</v>
      </c>
      <c r="M140" s="9">
        <v>1.4320388349514563</v>
      </c>
      <c r="N140" s="5">
        <f t="shared" si="11"/>
        <v>1.4320388349514563</v>
      </c>
      <c r="O140" s="3">
        <f t="shared" si="9"/>
        <v>0.44305355233605304</v>
      </c>
      <c r="P140" s="8">
        <v>12</v>
      </c>
      <c r="Q140" s="7">
        <f t="shared" si="10"/>
        <v>3.6921129361337755E-2</v>
      </c>
    </row>
    <row r="141" spans="1:17" x14ac:dyDescent="0.35">
      <c r="A141" s="4" t="s">
        <v>84</v>
      </c>
      <c r="B141" s="4" t="s">
        <v>74</v>
      </c>
      <c r="C141" s="4" t="s">
        <v>20</v>
      </c>
      <c r="D141" s="4">
        <v>329</v>
      </c>
      <c r="E141" s="4" t="s">
        <v>10</v>
      </c>
      <c r="F141" s="4" t="s">
        <v>145</v>
      </c>
      <c r="G141" s="4" t="s">
        <v>0</v>
      </c>
      <c r="H141" s="4">
        <v>2.83</v>
      </c>
      <c r="I141" s="4" t="s">
        <v>61</v>
      </c>
      <c r="J141" s="4" t="s">
        <v>1</v>
      </c>
      <c r="K141" s="4">
        <v>13.53</v>
      </c>
      <c r="L141" s="7">
        <f t="shared" si="8"/>
        <v>0.20916481892091648</v>
      </c>
      <c r="M141" s="9">
        <v>0.14886731391585761</v>
      </c>
      <c r="N141" s="5">
        <f t="shared" si="11"/>
        <v>0.14886731391585761</v>
      </c>
      <c r="O141" s="3">
        <f t="shared" si="9"/>
        <v>6.0297505005058871E-2</v>
      </c>
      <c r="P141" s="8">
        <v>14</v>
      </c>
      <c r="Q141" s="7">
        <f t="shared" si="10"/>
        <v>4.3069646432184906E-3</v>
      </c>
    </row>
    <row r="142" spans="1:17" x14ac:dyDescent="0.35">
      <c r="A142" s="4" t="s">
        <v>84</v>
      </c>
      <c r="B142" s="4" t="s">
        <v>74</v>
      </c>
      <c r="C142" s="4" t="s">
        <v>20</v>
      </c>
      <c r="D142" s="4">
        <v>329</v>
      </c>
      <c r="E142" s="4" t="s">
        <v>10</v>
      </c>
      <c r="F142" s="4" t="s">
        <v>145</v>
      </c>
      <c r="G142" s="4" t="s">
        <v>62</v>
      </c>
      <c r="H142" s="4">
        <v>0.15</v>
      </c>
      <c r="I142" s="4" t="s">
        <v>63</v>
      </c>
      <c r="J142" s="4" t="s">
        <v>1</v>
      </c>
      <c r="K142" s="4">
        <v>13.53</v>
      </c>
      <c r="L142" s="7">
        <f t="shared" si="8"/>
        <v>1.1086474501108648E-2</v>
      </c>
      <c r="M142" s="9">
        <v>-1.6181229773462784E-3</v>
      </c>
      <c r="N142" s="5">
        <f t="shared" si="11"/>
        <v>0</v>
      </c>
      <c r="O142" s="3">
        <f t="shared" si="9"/>
        <v>1.1086474501108648E-2</v>
      </c>
      <c r="P142" s="8">
        <v>31</v>
      </c>
      <c r="Q142" s="7">
        <f t="shared" si="10"/>
        <v>3.5762820971318223E-4</v>
      </c>
    </row>
    <row r="143" spans="1:17" x14ac:dyDescent="0.35">
      <c r="A143" s="4" t="s">
        <v>84</v>
      </c>
      <c r="B143" s="4" t="s">
        <v>74</v>
      </c>
      <c r="C143" s="4" t="s">
        <v>20</v>
      </c>
      <c r="D143" s="4">
        <v>329</v>
      </c>
      <c r="E143" s="4" t="s">
        <v>10</v>
      </c>
      <c r="F143" s="4" t="s">
        <v>145</v>
      </c>
      <c r="G143" s="4" t="s">
        <v>21</v>
      </c>
      <c r="H143" s="4">
        <v>25.87</v>
      </c>
      <c r="I143" s="4" t="s">
        <v>22</v>
      </c>
      <c r="J143" s="4" t="s">
        <v>1</v>
      </c>
      <c r="K143" s="4">
        <v>12.19</v>
      </c>
      <c r="L143" s="7">
        <f t="shared" si="8"/>
        <v>2.1222313371616082</v>
      </c>
      <c r="M143" s="9">
        <v>1.4320388349514563</v>
      </c>
      <c r="N143" s="5">
        <f t="shared" si="11"/>
        <v>1.4320388349514563</v>
      </c>
      <c r="O143" s="3">
        <f t="shared" si="9"/>
        <v>0.69019250221015183</v>
      </c>
      <c r="P143" s="8">
        <v>12</v>
      </c>
      <c r="Q143" s="7">
        <f t="shared" si="10"/>
        <v>5.7516041850845988E-2</v>
      </c>
    </row>
    <row r="144" spans="1:17" x14ac:dyDescent="0.35">
      <c r="A144" s="4" t="s">
        <v>84</v>
      </c>
      <c r="B144" s="4" t="s">
        <v>74</v>
      </c>
      <c r="C144" s="4" t="s">
        <v>20</v>
      </c>
      <c r="D144" s="4">
        <v>329</v>
      </c>
      <c r="E144" s="4" t="s">
        <v>10</v>
      </c>
      <c r="F144" s="4" t="s">
        <v>145</v>
      </c>
      <c r="G144" s="4" t="s">
        <v>0</v>
      </c>
      <c r="H144" s="4">
        <v>1.88</v>
      </c>
      <c r="I144" s="4" t="s">
        <v>61</v>
      </c>
      <c r="J144" s="4" t="s">
        <v>1</v>
      </c>
      <c r="K144" s="4">
        <v>12.19</v>
      </c>
      <c r="L144" s="7">
        <f t="shared" si="8"/>
        <v>0.1542247744052502</v>
      </c>
      <c r="M144" s="9">
        <v>0.14886731391585761</v>
      </c>
      <c r="N144" s="5">
        <f t="shared" si="11"/>
        <v>0.14886731391585761</v>
      </c>
      <c r="O144" s="3">
        <f t="shared" si="9"/>
        <v>5.3574604893925903E-3</v>
      </c>
      <c r="P144" s="8">
        <v>14</v>
      </c>
      <c r="Q144" s="7">
        <f t="shared" si="10"/>
        <v>3.8267574924232787E-4</v>
      </c>
    </row>
    <row r="145" spans="1:17" x14ac:dyDescent="0.35">
      <c r="A145" s="4" t="s">
        <v>84</v>
      </c>
      <c r="B145" s="4" t="s">
        <v>74</v>
      </c>
      <c r="C145" s="4" t="s">
        <v>20</v>
      </c>
      <c r="D145" s="4">
        <v>329</v>
      </c>
      <c r="E145" s="4" t="s">
        <v>10</v>
      </c>
      <c r="F145" s="4" t="s">
        <v>145</v>
      </c>
      <c r="G145" s="4" t="s">
        <v>62</v>
      </c>
      <c r="H145" s="4">
        <v>0.09</v>
      </c>
      <c r="I145" s="4" t="s">
        <v>63</v>
      </c>
      <c r="J145" s="4" t="s">
        <v>1</v>
      </c>
      <c r="K145" s="4">
        <v>12.19</v>
      </c>
      <c r="L145" s="7">
        <f t="shared" si="8"/>
        <v>7.3831009023789989E-3</v>
      </c>
      <c r="M145" s="9">
        <v>-1.6181229773462784E-3</v>
      </c>
      <c r="N145" s="5">
        <f t="shared" si="11"/>
        <v>0</v>
      </c>
      <c r="O145" s="3">
        <f t="shared" si="9"/>
        <v>7.3831009023789989E-3</v>
      </c>
      <c r="P145" s="8">
        <v>31</v>
      </c>
      <c r="Q145" s="7">
        <f t="shared" si="10"/>
        <v>2.3816454523803223E-4</v>
      </c>
    </row>
    <row r="146" spans="1:17" x14ac:dyDescent="0.35">
      <c r="A146" s="4" t="s">
        <v>73</v>
      </c>
      <c r="B146" s="4" t="s">
        <v>74</v>
      </c>
      <c r="C146" s="4" t="s">
        <v>20</v>
      </c>
      <c r="D146" s="4">
        <v>329</v>
      </c>
      <c r="E146" s="4" t="s">
        <v>10</v>
      </c>
      <c r="F146" s="4" t="s">
        <v>114</v>
      </c>
      <c r="G146" s="4" t="s">
        <v>21</v>
      </c>
      <c r="H146" s="4">
        <v>25.44</v>
      </c>
      <c r="I146" s="4" t="s">
        <v>22</v>
      </c>
      <c r="J146" s="4" t="s">
        <v>1</v>
      </c>
      <c r="K146" s="4">
        <v>14.45</v>
      </c>
      <c r="L146" s="7">
        <f t="shared" si="8"/>
        <v>1.7605536332179932</v>
      </c>
      <c r="M146" s="9">
        <v>1.3274647887323945</v>
      </c>
      <c r="N146" s="5">
        <f t="shared" si="11"/>
        <v>1.3274647887323945</v>
      </c>
      <c r="O146" s="3">
        <f t="shared" si="9"/>
        <v>0.4330888444855987</v>
      </c>
      <c r="P146" s="8">
        <v>12</v>
      </c>
      <c r="Q146" s="7">
        <f t="shared" si="10"/>
        <v>3.6090737040466558E-2</v>
      </c>
    </row>
    <row r="147" spans="1:17" x14ac:dyDescent="0.35">
      <c r="A147" s="4" t="s">
        <v>73</v>
      </c>
      <c r="B147" s="4" t="s">
        <v>74</v>
      </c>
      <c r="C147" s="4" t="s">
        <v>20</v>
      </c>
      <c r="D147" s="4">
        <v>329</v>
      </c>
      <c r="E147" s="4" t="s">
        <v>10</v>
      </c>
      <c r="F147" s="4" t="s">
        <v>114</v>
      </c>
      <c r="G147" s="4" t="s">
        <v>0</v>
      </c>
      <c r="H147" s="4">
        <v>2.0499999999999998</v>
      </c>
      <c r="I147" s="4" t="s">
        <v>61</v>
      </c>
      <c r="J147" s="4" t="s">
        <v>1</v>
      </c>
      <c r="K147" s="4">
        <v>14.45</v>
      </c>
      <c r="L147" s="7">
        <f t="shared" si="8"/>
        <v>0.14186851211072662</v>
      </c>
      <c r="M147" s="9">
        <v>3.6971830985915492E-2</v>
      </c>
      <c r="N147" s="5">
        <f t="shared" si="11"/>
        <v>3.6971830985915492E-2</v>
      </c>
      <c r="O147" s="3">
        <f t="shared" si="9"/>
        <v>0.10489668112481113</v>
      </c>
      <c r="P147" s="8">
        <v>14</v>
      </c>
      <c r="Q147" s="7">
        <f t="shared" si="10"/>
        <v>7.4926200803436521E-3</v>
      </c>
    </row>
    <row r="148" spans="1:17" x14ac:dyDescent="0.35">
      <c r="A148" s="4" t="s">
        <v>73</v>
      </c>
      <c r="B148" s="4" t="s">
        <v>74</v>
      </c>
      <c r="C148" s="4" t="s">
        <v>20</v>
      </c>
      <c r="D148" s="4">
        <v>329</v>
      </c>
      <c r="E148" s="4" t="s">
        <v>10</v>
      </c>
      <c r="F148" s="4" t="s">
        <v>114</v>
      </c>
      <c r="G148" s="4" t="s">
        <v>62</v>
      </c>
      <c r="H148" s="4">
        <v>0.02</v>
      </c>
      <c r="I148" s="4" t="s">
        <v>63</v>
      </c>
      <c r="J148" s="4" t="s">
        <v>1</v>
      </c>
      <c r="K148" s="4">
        <v>14.45</v>
      </c>
      <c r="L148" s="7">
        <f t="shared" si="8"/>
        <v>1.3840830449826991E-3</v>
      </c>
      <c r="M148" s="9">
        <v>1.7605633802816902E-3</v>
      </c>
      <c r="N148" s="5">
        <f t="shared" si="11"/>
        <v>1.7605633802816902E-3</v>
      </c>
      <c r="O148" s="3">
        <f t="shared" si="9"/>
        <v>-3.7648033529899105E-4</v>
      </c>
      <c r="P148" s="8">
        <v>31</v>
      </c>
      <c r="Q148" s="7">
        <f t="shared" si="10"/>
        <v>-1.2144526945128744E-5</v>
      </c>
    </row>
    <row r="149" spans="1:17" x14ac:dyDescent="0.35">
      <c r="A149" s="4" t="s">
        <v>73</v>
      </c>
      <c r="B149" s="4" t="s">
        <v>74</v>
      </c>
      <c r="C149" s="4" t="s">
        <v>20</v>
      </c>
      <c r="D149" s="4">
        <v>329</v>
      </c>
      <c r="E149" s="4" t="s">
        <v>10</v>
      </c>
      <c r="F149" s="4" t="s">
        <v>114</v>
      </c>
      <c r="G149" s="4" t="s">
        <v>21</v>
      </c>
      <c r="H149" s="4">
        <v>22.4</v>
      </c>
      <c r="I149" s="4" t="s">
        <v>22</v>
      </c>
      <c r="J149" s="4" t="s">
        <v>1</v>
      </c>
      <c r="K149" s="4">
        <v>12.34</v>
      </c>
      <c r="L149" s="7">
        <f t="shared" si="8"/>
        <v>1.8152350081037276</v>
      </c>
      <c r="M149" s="9">
        <v>1.3274647887323945</v>
      </c>
      <c r="N149" s="5">
        <f t="shared" si="11"/>
        <v>1.3274647887323945</v>
      </c>
      <c r="O149" s="3">
        <f t="shared" si="9"/>
        <v>0.48777021937133314</v>
      </c>
      <c r="P149" s="8">
        <v>12</v>
      </c>
      <c r="Q149" s="7">
        <f t="shared" si="10"/>
        <v>4.0647518280944428E-2</v>
      </c>
    </row>
    <row r="150" spans="1:17" x14ac:dyDescent="0.35">
      <c r="A150" s="4" t="s">
        <v>73</v>
      </c>
      <c r="B150" s="4" t="s">
        <v>74</v>
      </c>
      <c r="C150" s="4" t="s">
        <v>20</v>
      </c>
      <c r="D150" s="4">
        <v>329</v>
      </c>
      <c r="E150" s="4" t="s">
        <v>10</v>
      </c>
      <c r="F150" s="4" t="s">
        <v>114</v>
      </c>
      <c r="G150" s="4" t="s">
        <v>0</v>
      </c>
      <c r="H150" s="4">
        <v>1.37</v>
      </c>
      <c r="I150" s="4" t="s">
        <v>61</v>
      </c>
      <c r="J150" s="4" t="s">
        <v>1</v>
      </c>
      <c r="K150" s="4">
        <v>12.34</v>
      </c>
      <c r="L150" s="7">
        <f t="shared" si="8"/>
        <v>0.11102106969205836</v>
      </c>
      <c r="M150" s="9">
        <v>3.6971830985915492E-2</v>
      </c>
      <c r="N150" s="5">
        <f t="shared" si="11"/>
        <v>3.6971830985915492E-2</v>
      </c>
      <c r="O150" s="3">
        <f t="shared" si="9"/>
        <v>7.4049238706142856E-2</v>
      </c>
      <c r="P150" s="8">
        <v>14</v>
      </c>
      <c r="Q150" s="7">
        <f t="shared" si="10"/>
        <v>5.2892313361530613E-3</v>
      </c>
    </row>
    <row r="151" spans="1:17" x14ac:dyDescent="0.35">
      <c r="A151" s="4" t="s">
        <v>73</v>
      </c>
      <c r="B151" s="4" t="s">
        <v>74</v>
      </c>
      <c r="C151" s="4" t="s">
        <v>20</v>
      </c>
      <c r="D151" s="4">
        <v>329</v>
      </c>
      <c r="E151" s="4" t="s">
        <v>10</v>
      </c>
      <c r="F151" s="4" t="s">
        <v>114</v>
      </c>
      <c r="G151" s="4" t="s">
        <v>62</v>
      </c>
      <c r="H151" s="4">
        <v>0.05</v>
      </c>
      <c r="I151" s="4" t="s">
        <v>63</v>
      </c>
      <c r="J151" s="4" t="s">
        <v>1</v>
      </c>
      <c r="K151" s="4">
        <v>12.34</v>
      </c>
      <c r="L151" s="7">
        <f t="shared" si="8"/>
        <v>4.0518638573743921E-3</v>
      </c>
      <c r="M151" s="9">
        <v>1.7605633802816902E-3</v>
      </c>
      <c r="N151" s="5">
        <f t="shared" si="11"/>
        <v>1.7605633802816902E-3</v>
      </c>
      <c r="O151" s="3">
        <f t="shared" si="9"/>
        <v>2.2913004770927017E-3</v>
      </c>
      <c r="P151" s="8">
        <v>31</v>
      </c>
      <c r="Q151" s="7">
        <f t="shared" si="10"/>
        <v>7.3912918615893605E-5</v>
      </c>
    </row>
    <row r="152" spans="1:17" x14ac:dyDescent="0.35">
      <c r="A152" s="4" t="s">
        <v>75</v>
      </c>
      <c r="B152" s="4" t="s">
        <v>74</v>
      </c>
      <c r="C152" s="4" t="s">
        <v>20</v>
      </c>
      <c r="D152" s="4">
        <v>329</v>
      </c>
      <c r="E152" s="4" t="s">
        <v>10</v>
      </c>
      <c r="F152" s="4" t="s">
        <v>114</v>
      </c>
      <c r="G152" s="4" t="s">
        <v>21</v>
      </c>
      <c r="H152" s="4">
        <v>27.01</v>
      </c>
      <c r="I152" s="4" t="s">
        <v>22</v>
      </c>
      <c r="J152" s="4" t="s">
        <v>1</v>
      </c>
      <c r="K152" s="4">
        <v>13.93</v>
      </c>
      <c r="L152" s="7">
        <f t="shared" si="8"/>
        <v>1.9389806173725774</v>
      </c>
      <c r="M152" s="9">
        <v>1.6718213058419245</v>
      </c>
      <c r="N152" s="5">
        <f t="shared" si="11"/>
        <v>1.6718213058419245</v>
      </c>
      <c r="O152" s="3">
        <f t="shared" si="9"/>
        <v>0.26715931153065298</v>
      </c>
      <c r="P152" s="8">
        <v>12</v>
      </c>
      <c r="Q152" s="7">
        <f t="shared" si="10"/>
        <v>2.2263275960887747E-2</v>
      </c>
    </row>
    <row r="153" spans="1:17" x14ac:dyDescent="0.35">
      <c r="A153" s="4" t="s">
        <v>75</v>
      </c>
      <c r="B153" s="4" t="s">
        <v>74</v>
      </c>
      <c r="C153" s="4" t="s">
        <v>20</v>
      </c>
      <c r="D153" s="4">
        <v>329</v>
      </c>
      <c r="E153" s="4" t="s">
        <v>10</v>
      </c>
      <c r="F153" s="4" t="s">
        <v>114</v>
      </c>
      <c r="G153" s="4" t="s">
        <v>0</v>
      </c>
      <c r="H153" s="4">
        <v>2.3199999999999998</v>
      </c>
      <c r="I153" s="4" t="s">
        <v>61</v>
      </c>
      <c r="J153" s="4" t="s">
        <v>1</v>
      </c>
      <c r="K153" s="4">
        <v>13.93</v>
      </c>
      <c r="L153" s="7">
        <f t="shared" si="8"/>
        <v>0.16654702081837761</v>
      </c>
      <c r="M153" s="9">
        <v>9.9656357388316144E-2</v>
      </c>
      <c r="N153" s="5">
        <f t="shared" si="11"/>
        <v>9.9656357388316144E-2</v>
      </c>
      <c r="O153" s="3">
        <f t="shared" si="9"/>
        <v>6.6890663430061462E-2</v>
      </c>
      <c r="P153" s="8">
        <v>14</v>
      </c>
      <c r="Q153" s="7">
        <f t="shared" si="10"/>
        <v>4.777904530718676E-3</v>
      </c>
    </row>
    <row r="154" spans="1:17" x14ac:dyDescent="0.35">
      <c r="A154" s="4" t="s">
        <v>75</v>
      </c>
      <c r="B154" s="4" t="s">
        <v>74</v>
      </c>
      <c r="C154" s="4" t="s">
        <v>20</v>
      </c>
      <c r="D154" s="4">
        <v>329</v>
      </c>
      <c r="E154" s="4" t="s">
        <v>10</v>
      </c>
      <c r="F154" s="4" t="s">
        <v>114</v>
      </c>
      <c r="G154" s="4" t="s">
        <v>62</v>
      </c>
      <c r="H154" s="4">
        <v>0.13</v>
      </c>
      <c r="I154" s="4" t="s">
        <v>63</v>
      </c>
      <c r="J154" s="4" t="s">
        <v>1</v>
      </c>
      <c r="K154" s="4">
        <v>13.93</v>
      </c>
      <c r="L154" s="7">
        <f t="shared" si="8"/>
        <v>9.3323761665470208E-3</v>
      </c>
      <c r="M154" s="9">
        <v>-1.718213058419244E-3</v>
      </c>
      <c r="N154" s="5">
        <f t="shared" si="11"/>
        <v>0</v>
      </c>
      <c r="O154" s="3">
        <f t="shared" si="9"/>
        <v>9.3323761665470208E-3</v>
      </c>
      <c r="P154" s="8">
        <v>31</v>
      </c>
      <c r="Q154" s="7">
        <f t="shared" si="10"/>
        <v>3.0104439246925874E-4</v>
      </c>
    </row>
    <row r="155" spans="1:17" x14ac:dyDescent="0.35">
      <c r="A155" s="4" t="s">
        <v>76</v>
      </c>
      <c r="B155" s="4" t="s">
        <v>77</v>
      </c>
      <c r="C155" s="4" t="s">
        <v>20</v>
      </c>
      <c r="D155" s="4">
        <v>354</v>
      </c>
      <c r="E155" s="4" t="s">
        <v>10</v>
      </c>
      <c r="F155" s="4" t="s">
        <v>114</v>
      </c>
      <c r="G155" s="4" t="s">
        <v>21</v>
      </c>
      <c r="H155" s="4">
        <v>22.57</v>
      </c>
      <c r="I155" s="4" t="s">
        <v>22</v>
      </c>
      <c r="J155" s="4" t="s">
        <v>1</v>
      </c>
      <c r="K155" s="4">
        <v>8.2200000000000006</v>
      </c>
      <c r="L155" s="7">
        <f t="shared" si="8"/>
        <v>2.7457420924574207</v>
      </c>
      <c r="M155" s="9">
        <v>4.6838407494145209E-2</v>
      </c>
      <c r="N155" s="5">
        <f t="shared" si="11"/>
        <v>4.6838407494145209E-2</v>
      </c>
      <c r="O155" s="3">
        <f t="shared" si="9"/>
        <v>2.6989036849632755</v>
      </c>
      <c r="P155" s="8">
        <v>12</v>
      </c>
      <c r="Q155" s="7">
        <f t="shared" si="10"/>
        <v>0.22490864041360628</v>
      </c>
    </row>
    <row r="156" spans="1:17" x14ac:dyDescent="0.35">
      <c r="A156" s="4" t="s">
        <v>76</v>
      </c>
      <c r="B156" s="4" t="s">
        <v>77</v>
      </c>
      <c r="C156" s="4" t="s">
        <v>20</v>
      </c>
      <c r="D156" s="4">
        <v>354</v>
      </c>
      <c r="E156" s="4" t="s">
        <v>10</v>
      </c>
      <c r="F156" s="4" t="s">
        <v>114</v>
      </c>
      <c r="G156" s="4" t="s">
        <v>0</v>
      </c>
      <c r="H156" s="4">
        <v>0.7</v>
      </c>
      <c r="I156" s="4" t="s">
        <v>61</v>
      </c>
      <c r="J156" s="4" t="s">
        <v>1</v>
      </c>
      <c r="K156" s="4">
        <v>8.2200000000000006</v>
      </c>
      <c r="L156" s="7">
        <f t="shared" si="8"/>
        <v>8.5158150851581502E-2</v>
      </c>
      <c r="M156" s="9">
        <v>-8.7822014051522262E-2</v>
      </c>
      <c r="N156" s="5">
        <f t="shared" si="11"/>
        <v>0</v>
      </c>
      <c r="O156" s="3">
        <f t="shared" si="9"/>
        <v>8.5158150851581502E-2</v>
      </c>
      <c r="P156" s="8">
        <v>14</v>
      </c>
      <c r="Q156" s="7">
        <f t="shared" si="10"/>
        <v>6.0827250608272501E-3</v>
      </c>
    </row>
    <row r="157" spans="1:17" x14ac:dyDescent="0.35">
      <c r="A157" s="4" t="s">
        <v>76</v>
      </c>
      <c r="B157" s="4" t="s">
        <v>77</v>
      </c>
      <c r="C157" s="4" t="s">
        <v>20</v>
      </c>
      <c r="D157" s="4">
        <v>354</v>
      </c>
      <c r="E157" s="4" t="s">
        <v>10</v>
      </c>
      <c r="F157" s="4" t="s">
        <v>114</v>
      </c>
      <c r="G157" s="4" t="s">
        <v>62</v>
      </c>
      <c r="H157" s="4">
        <v>0.02</v>
      </c>
      <c r="I157" s="4" t="s">
        <v>63</v>
      </c>
      <c r="J157" s="4" t="s">
        <v>1</v>
      </c>
      <c r="K157" s="4">
        <v>8.2200000000000006</v>
      </c>
      <c r="L157" s="7">
        <f t="shared" si="8"/>
        <v>2.4330900243309003E-3</v>
      </c>
      <c r="M157" s="9">
        <v>-8.196721311475412E-3</v>
      </c>
      <c r="N157" s="5">
        <f t="shared" si="11"/>
        <v>0</v>
      </c>
      <c r="O157" s="3">
        <f t="shared" si="9"/>
        <v>2.4330900243309003E-3</v>
      </c>
      <c r="P157" s="8">
        <v>31</v>
      </c>
      <c r="Q157" s="7">
        <f t="shared" si="10"/>
        <v>7.8486774978416137E-5</v>
      </c>
    </row>
    <row r="158" spans="1:17" x14ac:dyDescent="0.35">
      <c r="A158" s="4" t="s">
        <v>76</v>
      </c>
      <c r="B158" s="4" t="s">
        <v>77</v>
      </c>
      <c r="C158" s="4" t="s">
        <v>20</v>
      </c>
      <c r="D158" s="4">
        <v>354</v>
      </c>
      <c r="E158" s="4" t="s">
        <v>10</v>
      </c>
      <c r="F158" s="4" t="s">
        <v>114</v>
      </c>
      <c r="G158" s="4" t="s">
        <v>21</v>
      </c>
      <c r="H158" s="4">
        <v>24.47</v>
      </c>
      <c r="I158" s="4" t="s">
        <v>22</v>
      </c>
      <c r="J158" s="4" t="s">
        <v>1</v>
      </c>
      <c r="K158" s="4">
        <v>7.36</v>
      </c>
      <c r="L158" s="7">
        <f t="shared" si="8"/>
        <v>3.324728260869565</v>
      </c>
      <c r="M158" s="9">
        <v>4.6838407494145209E-2</v>
      </c>
      <c r="N158" s="5">
        <f t="shared" si="11"/>
        <v>4.6838407494145209E-2</v>
      </c>
      <c r="O158" s="3">
        <f t="shared" si="9"/>
        <v>3.2778898533754197</v>
      </c>
      <c r="P158" s="8">
        <v>12</v>
      </c>
      <c r="Q158" s="7">
        <f t="shared" si="10"/>
        <v>0.27315748778128496</v>
      </c>
    </row>
    <row r="159" spans="1:17" x14ac:dyDescent="0.35">
      <c r="A159" s="4" t="s">
        <v>76</v>
      </c>
      <c r="B159" s="4" t="s">
        <v>77</v>
      </c>
      <c r="C159" s="4" t="s">
        <v>20</v>
      </c>
      <c r="D159" s="4">
        <v>354</v>
      </c>
      <c r="E159" s="4" t="s">
        <v>10</v>
      </c>
      <c r="F159" s="4" t="s">
        <v>114</v>
      </c>
      <c r="G159" s="4" t="s">
        <v>0</v>
      </c>
      <c r="H159" s="4">
        <v>-0.42</v>
      </c>
      <c r="I159" s="4" t="s">
        <v>61</v>
      </c>
      <c r="J159" s="4" t="s">
        <v>1</v>
      </c>
      <c r="K159" s="4">
        <v>7.36</v>
      </c>
      <c r="L159" s="7">
        <f t="shared" si="8"/>
        <v>-5.7065217391304345E-2</v>
      </c>
      <c r="M159" s="9">
        <v>-8.7822014051522262E-2</v>
      </c>
      <c r="N159" s="5">
        <f t="shared" si="11"/>
        <v>0</v>
      </c>
      <c r="O159" s="3">
        <f t="shared" si="9"/>
        <v>-5.7065217391304345E-2</v>
      </c>
      <c r="P159" s="8">
        <v>14</v>
      </c>
      <c r="Q159" s="7">
        <f t="shared" si="10"/>
        <v>-4.076086956521739E-3</v>
      </c>
    </row>
    <row r="160" spans="1:17" x14ac:dyDescent="0.35">
      <c r="A160" s="4" t="s">
        <v>76</v>
      </c>
      <c r="B160" s="4" t="s">
        <v>77</v>
      </c>
      <c r="C160" s="4" t="s">
        <v>20</v>
      </c>
      <c r="D160" s="4">
        <v>354</v>
      </c>
      <c r="E160" s="4" t="s">
        <v>10</v>
      </c>
      <c r="F160" s="4" t="s">
        <v>114</v>
      </c>
      <c r="G160" s="4" t="s">
        <v>62</v>
      </c>
      <c r="H160" s="4">
        <v>0.05</v>
      </c>
      <c r="I160" s="4" t="s">
        <v>63</v>
      </c>
      <c r="J160" s="4" t="s">
        <v>1</v>
      </c>
      <c r="K160" s="4">
        <v>7.36</v>
      </c>
      <c r="L160" s="7">
        <f t="shared" si="8"/>
        <v>6.793478260869565E-3</v>
      </c>
      <c r="M160" s="9">
        <v>-8.196721311475412E-3</v>
      </c>
      <c r="N160" s="5">
        <f t="shared" si="11"/>
        <v>0</v>
      </c>
      <c r="O160" s="3">
        <f t="shared" si="9"/>
        <v>6.793478260869565E-3</v>
      </c>
      <c r="P160" s="8">
        <v>31</v>
      </c>
      <c r="Q160" s="7">
        <f t="shared" si="10"/>
        <v>2.1914446002805048E-4</v>
      </c>
    </row>
    <row r="161" spans="1:17" x14ac:dyDescent="0.35">
      <c r="A161" s="4" t="s">
        <v>29</v>
      </c>
      <c r="B161" s="4" t="s">
        <v>30</v>
      </c>
      <c r="C161" s="4" t="s">
        <v>20</v>
      </c>
      <c r="D161" s="4">
        <v>10</v>
      </c>
      <c r="E161" s="4" t="s">
        <v>9</v>
      </c>
      <c r="F161" s="4" t="s">
        <v>114</v>
      </c>
      <c r="G161" s="4" t="s">
        <v>21</v>
      </c>
      <c r="H161" s="4">
        <v>14.48</v>
      </c>
      <c r="I161" s="4" t="s">
        <v>22</v>
      </c>
      <c r="J161" s="4" t="s">
        <v>1</v>
      </c>
      <c r="K161" s="4">
        <v>13.56</v>
      </c>
      <c r="L161" s="7">
        <f t="shared" si="8"/>
        <v>1.0678466076696165</v>
      </c>
      <c r="M161" s="9">
        <v>0.35215243472124208</v>
      </c>
      <c r="N161" s="5">
        <f t="shared" si="11"/>
        <v>0.35215243472124208</v>
      </c>
      <c r="O161" s="3">
        <f t="shared" si="9"/>
        <v>0.71569417294837434</v>
      </c>
      <c r="P161" s="8">
        <v>12</v>
      </c>
      <c r="Q161" s="7">
        <f t="shared" si="10"/>
        <v>5.9641181079031193E-2</v>
      </c>
    </row>
    <row r="162" spans="1:17" x14ac:dyDescent="0.35">
      <c r="A162" s="4" t="s">
        <v>29</v>
      </c>
      <c r="B162" s="4" t="s">
        <v>30</v>
      </c>
      <c r="C162" s="4" t="s">
        <v>20</v>
      </c>
      <c r="D162" s="4">
        <v>10</v>
      </c>
      <c r="E162" s="4" t="s">
        <v>9</v>
      </c>
      <c r="F162" s="4" t="s">
        <v>114</v>
      </c>
      <c r="G162" s="4" t="s">
        <v>0</v>
      </c>
      <c r="H162" s="4">
        <v>0.56999999999999995</v>
      </c>
      <c r="I162" s="4" t="s">
        <v>61</v>
      </c>
      <c r="J162" s="4" t="s">
        <v>1</v>
      </c>
      <c r="K162" s="4">
        <v>13.56</v>
      </c>
      <c r="L162" s="7">
        <f t="shared" si="8"/>
        <v>4.2035398230088492E-2</v>
      </c>
      <c r="M162" s="9">
        <v>-3.1051517290049402E-2</v>
      </c>
      <c r="N162" s="5">
        <f t="shared" si="11"/>
        <v>0</v>
      </c>
      <c r="O162" s="3">
        <f t="shared" si="9"/>
        <v>4.2035398230088492E-2</v>
      </c>
      <c r="P162" s="8">
        <v>14</v>
      </c>
      <c r="Q162" s="7">
        <f t="shared" si="10"/>
        <v>3.0025284450063208E-3</v>
      </c>
    </row>
    <row r="163" spans="1:17" x14ac:dyDescent="0.35">
      <c r="A163" s="4" t="s">
        <v>29</v>
      </c>
      <c r="B163" s="4" t="s">
        <v>30</v>
      </c>
      <c r="C163" s="4" t="s">
        <v>20</v>
      </c>
      <c r="D163" s="4">
        <v>10</v>
      </c>
      <c r="E163" s="4" t="s">
        <v>9</v>
      </c>
      <c r="F163" s="4" t="s">
        <v>114</v>
      </c>
      <c r="G163" s="4" t="s">
        <v>62</v>
      </c>
      <c r="H163" s="4">
        <v>0.12</v>
      </c>
      <c r="I163" s="4" t="s">
        <v>63</v>
      </c>
      <c r="J163" s="4" t="s">
        <v>1</v>
      </c>
      <c r="K163" s="4">
        <v>13.56</v>
      </c>
      <c r="L163" s="7">
        <f t="shared" si="8"/>
        <v>8.8495575221238937E-3</v>
      </c>
      <c r="M163" s="9">
        <v>2.8228652081863093E-3</v>
      </c>
      <c r="N163" s="5">
        <f t="shared" si="11"/>
        <v>2.8228652081863093E-3</v>
      </c>
      <c r="O163" s="3">
        <f t="shared" si="9"/>
        <v>6.0266923139375844E-3</v>
      </c>
      <c r="P163" s="8">
        <v>31</v>
      </c>
      <c r="Q163" s="7">
        <f t="shared" si="10"/>
        <v>1.9440942948185756E-4</v>
      </c>
    </row>
    <row r="164" spans="1:17" x14ac:dyDescent="0.35">
      <c r="A164" s="4" t="s">
        <v>29</v>
      </c>
      <c r="B164" s="4" t="s">
        <v>30</v>
      </c>
      <c r="C164" s="4" t="s">
        <v>20</v>
      </c>
      <c r="D164" s="4">
        <v>10</v>
      </c>
      <c r="E164" s="4" t="s">
        <v>9</v>
      </c>
      <c r="F164" s="4" t="s">
        <v>114</v>
      </c>
      <c r="G164" s="4" t="s">
        <v>21</v>
      </c>
      <c r="H164" s="4">
        <v>6.55</v>
      </c>
      <c r="I164" s="4" t="s">
        <v>22</v>
      </c>
      <c r="J164" s="4" t="s">
        <v>1</v>
      </c>
      <c r="K164" s="4">
        <v>11.96</v>
      </c>
      <c r="L164" s="7">
        <f t="shared" si="8"/>
        <v>0.54765886287625409</v>
      </c>
      <c r="M164" s="9">
        <v>0.35215243472124208</v>
      </c>
      <c r="N164" s="5">
        <f t="shared" si="11"/>
        <v>0.35215243472124208</v>
      </c>
      <c r="O164" s="3">
        <f t="shared" si="9"/>
        <v>0.19550642815501201</v>
      </c>
      <c r="P164" s="8">
        <v>12</v>
      </c>
      <c r="Q164" s="7">
        <f t="shared" si="10"/>
        <v>1.6292202346251002E-2</v>
      </c>
    </row>
    <row r="165" spans="1:17" x14ac:dyDescent="0.35">
      <c r="A165" s="4" t="s">
        <v>29</v>
      </c>
      <c r="B165" s="4" t="s">
        <v>30</v>
      </c>
      <c r="C165" s="4" t="s">
        <v>20</v>
      </c>
      <c r="D165" s="4">
        <v>10</v>
      </c>
      <c r="E165" s="4" t="s">
        <v>9</v>
      </c>
      <c r="F165" s="4" t="s">
        <v>114</v>
      </c>
      <c r="G165" s="4" t="s">
        <v>0</v>
      </c>
      <c r="H165" s="4">
        <v>-0.16</v>
      </c>
      <c r="I165" s="4" t="s">
        <v>61</v>
      </c>
      <c r="J165" s="4" t="s">
        <v>1</v>
      </c>
      <c r="K165" s="4">
        <v>11.96</v>
      </c>
      <c r="L165" s="7">
        <f t="shared" si="8"/>
        <v>-1.3377926421404682E-2</v>
      </c>
      <c r="M165" s="9">
        <v>-3.1051517290049402E-2</v>
      </c>
      <c r="N165" s="5">
        <f t="shared" si="11"/>
        <v>0</v>
      </c>
      <c r="O165" s="3">
        <f t="shared" si="9"/>
        <v>-1.3377926421404682E-2</v>
      </c>
      <c r="P165" s="8">
        <v>14</v>
      </c>
      <c r="Q165" s="7">
        <f t="shared" si="10"/>
        <v>-9.5556617295747726E-4</v>
      </c>
    </row>
    <row r="166" spans="1:17" x14ac:dyDescent="0.35">
      <c r="A166" s="4" t="s">
        <v>29</v>
      </c>
      <c r="B166" s="4" t="s">
        <v>30</v>
      </c>
      <c r="C166" s="4" t="s">
        <v>20</v>
      </c>
      <c r="D166" s="4">
        <v>10</v>
      </c>
      <c r="E166" s="4" t="s">
        <v>9</v>
      </c>
      <c r="F166" s="4" t="s">
        <v>114</v>
      </c>
      <c r="G166" s="4" t="s">
        <v>62</v>
      </c>
      <c r="H166" s="4">
        <v>0.09</v>
      </c>
      <c r="I166" s="4" t="s">
        <v>63</v>
      </c>
      <c r="J166" s="4" t="s">
        <v>1</v>
      </c>
      <c r="K166" s="4">
        <v>11.96</v>
      </c>
      <c r="L166" s="7">
        <f t="shared" si="8"/>
        <v>7.5250836120401331E-3</v>
      </c>
      <c r="M166" s="9">
        <v>2.8228652081863093E-3</v>
      </c>
      <c r="N166" s="5">
        <f t="shared" si="11"/>
        <v>2.8228652081863093E-3</v>
      </c>
      <c r="O166" s="3">
        <f t="shared" si="9"/>
        <v>4.7022184038538238E-3</v>
      </c>
      <c r="P166" s="8">
        <v>31</v>
      </c>
      <c r="Q166" s="7">
        <f t="shared" si="10"/>
        <v>1.5168446464044593E-4</v>
      </c>
    </row>
    <row r="167" spans="1:17" x14ac:dyDescent="0.35">
      <c r="A167" s="4" t="s">
        <v>31</v>
      </c>
      <c r="B167" s="4" t="s">
        <v>30</v>
      </c>
      <c r="C167" s="4" t="s">
        <v>20</v>
      </c>
      <c r="D167" s="4">
        <v>10</v>
      </c>
      <c r="E167" s="4" t="s">
        <v>9</v>
      </c>
      <c r="F167" s="4" t="s">
        <v>114</v>
      </c>
      <c r="G167" s="4" t="s">
        <v>21</v>
      </c>
      <c r="H167" s="4">
        <v>15.08</v>
      </c>
      <c r="I167" s="4" t="s">
        <v>22</v>
      </c>
      <c r="J167" s="4" t="s">
        <v>1</v>
      </c>
      <c r="K167" s="4">
        <v>10.42</v>
      </c>
      <c r="L167" s="7">
        <f t="shared" si="8"/>
        <v>1.4472168905950096</v>
      </c>
      <c r="M167" s="9">
        <v>0.27204220045214772</v>
      </c>
      <c r="N167" s="5">
        <f t="shared" si="11"/>
        <v>0.27204220045214772</v>
      </c>
      <c r="O167" s="3">
        <f t="shared" si="9"/>
        <v>1.1751746901428619</v>
      </c>
      <c r="P167" s="8">
        <v>12</v>
      </c>
      <c r="Q167" s="7">
        <f t="shared" si="10"/>
        <v>9.7931224178571821E-2</v>
      </c>
    </row>
    <row r="168" spans="1:17" x14ac:dyDescent="0.35">
      <c r="A168" s="4" t="s">
        <v>31</v>
      </c>
      <c r="B168" s="4" t="s">
        <v>30</v>
      </c>
      <c r="C168" s="4" t="s">
        <v>20</v>
      </c>
      <c r="D168" s="4">
        <v>10</v>
      </c>
      <c r="E168" s="4" t="s">
        <v>9</v>
      </c>
      <c r="F168" s="4" t="s">
        <v>114</v>
      </c>
      <c r="G168" s="4" t="s">
        <v>0</v>
      </c>
      <c r="H168" s="4">
        <v>0.43</v>
      </c>
      <c r="I168" s="4" t="s">
        <v>61</v>
      </c>
      <c r="J168" s="4" t="s">
        <v>1</v>
      </c>
      <c r="K168" s="4">
        <v>10.42</v>
      </c>
      <c r="L168" s="7">
        <f t="shared" si="8"/>
        <v>4.126679462571977E-2</v>
      </c>
      <c r="M168" s="9">
        <v>-4.8982667671439342E-2</v>
      </c>
      <c r="N168" s="5">
        <f t="shared" si="11"/>
        <v>0</v>
      </c>
      <c r="O168" s="3">
        <f t="shared" si="9"/>
        <v>4.126679462571977E-2</v>
      </c>
      <c r="P168" s="8">
        <v>14</v>
      </c>
      <c r="Q168" s="7">
        <f t="shared" si="10"/>
        <v>2.9476281875514122E-3</v>
      </c>
    </row>
    <row r="169" spans="1:17" x14ac:dyDescent="0.35">
      <c r="A169" s="4" t="s">
        <v>31</v>
      </c>
      <c r="B169" s="4" t="s">
        <v>30</v>
      </c>
      <c r="C169" s="4" t="s">
        <v>20</v>
      </c>
      <c r="D169" s="4">
        <v>10</v>
      </c>
      <c r="E169" s="4" t="s">
        <v>9</v>
      </c>
      <c r="F169" s="4" t="s">
        <v>114</v>
      </c>
      <c r="G169" s="4" t="s">
        <v>62</v>
      </c>
      <c r="H169" s="4">
        <v>0.33</v>
      </c>
      <c r="I169" s="4" t="s">
        <v>63</v>
      </c>
      <c r="J169" s="4" t="s">
        <v>1</v>
      </c>
      <c r="K169" s="4">
        <v>10.42</v>
      </c>
      <c r="L169" s="7">
        <f t="shared" si="8"/>
        <v>3.1669865642994247E-2</v>
      </c>
      <c r="M169" s="9">
        <v>-3.0143180105501131E-3</v>
      </c>
      <c r="N169" s="5">
        <f t="shared" si="11"/>
        <v>0</v>
      </c>
      <c r="O169" s="3">
        <f t="shared" si="9"/>
        <v>3.1669865642994247E-2</v>
      </c>
      <c r="P169" s="8">
        <v>31</v>
      </c>
      <c r="Q169" s="7">
        <f t="shared" si="10"/>
        <v>1.0216085691288467E-3</v>
      </c>
    </row>
    <row r="170" spans="1:17" x14ac:dyDescent="0.35">
      <c r="A170" s="4" t="s">
        <v>31</v>
      </c>
      <c r="B170" s="4" t="s">
        <v>30</v>
      </c>
      <c r="C170" s="4" t="s">
        <v>20</v>
      </c>
      <c r="D170" s="4">
        <v>10</v>
      </c>
      <c r="E170" s="4" t="s">
        <v>9</v>
      </c>
      <c r="F170" s="4" t="s">
        <v>114</v>
      </c>
      <c r="G170" s="4" t="s">
        <v>21</v>
      </c>
      <c r="H170" s="4">
        <v>11.1</v>
      </c>
      <c r="I170" s="4" t="s">
        <v>22</v>
      </c>
      <c r="J170" s="4" t="s">
        <v>1</v>
      </c>
      <c r="K170" s="4">
        <v>14.73</v>
      </c>
      <c r="L170" s="7">
        <f t="shared" si="8"/>
        <v>0.75356415478615069</v>
      </c>
      <c r="M170" s="9">
        <v>0.27204220045214772</v>
      </c>
      <c r="N170" s="5">
        <f t="shared" si="11"/>
        <v>0.27204220045214772</v>
      </c>
      <c r="O170" s="3">
        <f t="shared" si="9"/>
        <v>0.48152195433400297</v>
      </c>
      <c r="P170" s="8">
        <v>12</v>
      </c>
      <c r="Q170" s="7">
        <f t="shared" si="10"/>
        <v>4.0126829527833578E-2</v>
      </c>
    </row>
    <row r="171" spans="1:17" x14ac:dyDescent="0.35">
      <c r="A171" s="4" t="s">
        <v>31</v>
      </c>
      <c r="B171" s="4" t="s">
        <v>30</v>
      </c>
      <c r="C171" s="4" t="s">
        <v>20</v>
      </c>
      <c r="D171" s="4">
        <v>10</v>
      </c>
      <c r="E171" s="4" t="s">
        <v>9</v>
      </c>
      <c r="F171" s="4" t="s">
        <v>114</v>
      </c>
      <c r="G171" s="4" t="s">
        <v>0</v>
      </c>
      <c r="H171" s="4">
        <v>-0.08</v>
      </c>
      <c r="I171" s="4" t="s">
        <v>61</v>
      </c>
      <c r="J171" s="4" t="s">
        <v>1</v>
      </c>
      <c r="K171" s="4">
        <v>14.73</v>
      </c>
      <c r="L171" s="7">
        <f t="shared" si="8"/>
        <v>-5.4310930074677527E-3</v>
      </c>
      <c r="M171" s="9">
        <v>-4.8982667671439342E-2</v>
      </c>
      <c r="N171" s="5">
        <f t="shared" si="11"/>
        <v>0</v>
      </c>
      <c r="O171" s="3">
        <f t="shared" si="9"/>
        <v>-5.4310930074677527E-3</v>
      </c>
      <c r="P171" s="8">
        <v>14</v>
      </c>
      <c r="Q171" s="7">
        <f t="shared" si="10"/>
        <v>-3.8793521481912517E-4</v>
      </c>
    </row>
    <row r="172" spans="1:17" x14ac:dyDescent="0.35">
      <c r="A172" s="4" t="s">
        <v>31</v>
      </c>
      <c r="B172" s="4" t="s">
        <v>30</v>
      </c>
      <c r="C172" s="4" t="s">
        <v>20</v>
      </c>
      <c r="D172" s="4">
        <v>10</v>
      </c>
      <c r="E172" s="4" t="s">
        <v>9</v>
      </c>
      <c r="F172" s="4" t="s">
        <v>114</v>
      </c>
      <c r="G172" s="4" t="s">
        <v>62</v>
      </c>
      <c r="H172" s="4">
        <v>0.12</v>
      </c>
      <c r="I172" s="4" t="s">
        <v>63</v>
      </c>
      <c r="J172" s="4" t="s">
        <v>1</v>
      </c>
      <c r="K172" s="4">
        <v>14.73</v>
      </c>
      <c r="L172" s="7">
        <f t="shared" si="8"/>
        <v>8.1466395112016286E-3</v>
      </c>
      <c r="M172" s="9">
        <v>-3.0143180105501131E-3</v>
      </c>
      <c r="N172" s="5">
        <f t="shared" si="11"/>
        <v>0</v>
      </c>
      <c r="O172" s="3">
        <f t="shared" si="9"/>
        <v>8.1466395112016286E-3</v>
      </c>
      <c r="P172" s="8">
        <v>31</v>
      </c>
      <c r="Q172" s="7">
        <f t="shared" si="10"/>
        <v>2.62794822941988E-4</v>
      </c>
    </row>
    <row r="173" spans="1:17" x14ac:dyDescent="0.35">
      <c r="A173" s="4" t="s">
        <v>49</v>
      </c>
      <c r="B173" s="4" t="s">
        <v>30</v>
      </c>
      <c r="C173" s="4" t="s">
        <v>20</v>
      </c>
      <c r="D173" s="4">
        <v>10</v>
      </c>
      <c r="E173" s="4" t="s">
        <v>9</v>
      </c>
      <c r="F173" s="4" t="s">
        <v>145</v>
      </c>
      <c r="G173" s="4" t="s">
        <v>21</v>
      </c>
      <c r="H173" s="4">
        <v>12.93</v>
      </c>
      <c r="I173" s="4" t="s">
        <v>22</v>
      </c>
      <c r="J173" s="4" t="s">
        <v>1</v>
      </c>
      <c r="K173" s="4">
        <v>15.2</v>
      </c>
      <c r="L173" s="7">
        <f t="shared" si="8"/>
        <v>0.85065789473684217</v>
      </c>
      <c r="M173" s="9">
        <v>0.19396274887604367</v>
      </c>
      <c r="N173" s="5">
        <f t="shared" si="11"/>
        <v>0.19396274887604367</v>
      </c>
      <c r="O173" s="3">
        <f t="shared" si="9"/>
        <v>0.65669514586079847</v>
      </c>
      <c r="P173" s="8">
        <v>12</v>
      </c>
      <c r="Q173" s="7">
        <f t="shared" si="10"/>
        <v>5.472459548839987E-2</v>
      </c>
    </row>
    <row r="174" spans="1:17" x14ac:dyDescent="0.35">
      <c r="A174" s="4" t="s">
        <v>49</v>
      </c>
      <c r="B174" s="4" t="s">
        <v>30</v>
      </c>
      <c r="C174" s="4" t="s">
        <v>20</v>
      </c>
      <c r="D174" s="4">
        <v>10</v>
      </c>
      <c r="E174" s="4" t="s">
        <v>9</v>
      </c>
      <c r="F174" s="4" t="s">
        <v>145</v>
      </c>
      <c r="G174" s="4" t="s">
        <v>0</v>
      </c>
      <c r="H174" s="4">
        <v>0.55000000000000004</v>
      </c>
      <c r="I174" s="4" t="s">
        <v>61</v>
      </c>
      <c r="J174" s="4" t="s">
        <v>1</v>
      </c>
      <c r="K174" s="4">
        <v>15.2</v>
      </c>
      <c r="L174" s="7">
        <f t="shared" si="8"/>
        <v>3.6184210526315791E-2</v>
      </c>
      <c r="M174" s="9">
        <v>-4.8811817597944764E-2</v>
      </c>
      <c r="N174" s="5">
        <f t="shared" si="11"/>
        <v>0</v>
      </c>
      <c r="O174" s="3">
        <f t="shared" si="9"/>
        <v>3.6184210526315791E-2</v>
      </c>
      <c r="P174" s="8">
        <v>14</v>
      </c>
      <c r="Q174" s="7">
        <f t="shared" si="10"/>
        <v>2.5845864661654138E-3</v>
      </c>
    </row>
    <row r="175" spans="1:17" x14ac:dyDescent="0.35">
      <c r="A175" s="4" t="s">
        <v>49</v>
      </c>
      <c r="B175" s="4" t="s">
        <v>30</v>
      </c>
      <c r="C175" s="4" t="s">
        <v>20</v>
      </c>
      <c r="D175" s="4">
        <v>10</v>
      </c>
      <c r="E175" s="4" t="s">
        <v>9</v>
      </c>
      <c r="F175" s="4" t="s">
        <v>145</v>
      </c>
      <c r="G175" s="4" t="s">
        <v>62</v>
      </c>
      <c r="H175" s="4">
        <v>0.09</v>
      </c>
      <c r="I175" s="4" t="s">
        <v>63</v>
      </c>
      <c r="J175" s="4" t="s">
        <v>1</v>
      </c>
      <c r="K175" s="4">
        <v>15.2</v>
      </c>
      <c r="L175" s="7">
        <f t="shared" si="8"/>
        <v>5.9210526315789476E-3</v>
      </c>
      <c r="M175" s="9">
        <v>-1.2845215157353885E-3</v>
      </c>
      <c r="N175" s="5">
        <f t="shared" si="11"/>
        <v>0</v>
      </c>
      <c r="O175" s="3">
        <f t="shared" si="9"/>
        <v>5.9210526315789476E-3</v>
      </c>
      <c r="P175" s="8">
        <v>31</v>
      </c>
      <c r="Q175" s="7">
        <f t="shared" si="10"/>
        <v>1.9100169779286927E-4</v>
      </c>
    </row>
    <row r="176" spans="1:17" x14ac:dyDescent="0.35">
      <c r="A176" s="4" t="s">
        <v>49</v>
      </c>
      <c r="B176" s="4" t="s">
        <v>30</v>
      </c>
      <c r="C176" s="4" t="s">
        <v>20</v>
      </c>
      <c r="D176" s="4">
        <v>10</v>
      </c>
      <c r="E176" s="4" t="s">
        <v>9</v>
      </c>
      <c r="F176" s="4" t="s">
        <v>145</v>
      </c>
      <c r="G176" s="4" t="s">
        <v>21</v>
      </c>
      <c r="H176" s="4">
        <v>13.37</v>
      </c>
      <c r="I176" s="4" t="s">
        <v>22</v>
      </c>
      <c r="J176" s="4" t="s">
        <v>1</v>
      </c>
      <c r="K176" s="4">
        <v>12.36</v>
      </c>
      <c r="L176" s="7">
        <f t="shared" si="8"/>
        <v>1.0817152103559871</v>
      </c>
      <c r="M176" s="9">
        <v>0.19396274887604367</v>
      </c>
      <c r="N176" s="5">
        <f t="shared" si="11"/>
        <v>0.19396274887604367</v>
      </c>
      <c r="O176" s="3">
        <f t="shared" si="9"/>
        <v>0.88775246147994336</v>
      </c>
      <c r="P176" s="8">
        <v>12</v>
      </c>
      <c r="Q176" s="7">
        <f t="shared" si="10"/>
        <v>7.397937178999528E-2</v>
      </c>
    </row>
    <row r="177" spans="1:17" x14ac:dyDescent="0.35">
      <c r="A177" s="4" t="s">
        <v>49</v>
      </c>
      <c r="B177" s="4" t="s">
        <v>30</v>
      </c>
      <c r="C177" s="4" t="s">
        <v>20</v>
      </c>
      <c r="D177" s="4">
        <v>10</v>
      </c>
      <c r="E177" s="4" t="s">
        <v>9</v>
      </c>
      <c r="F177" s="4" t="s">
        <v>145</v>
      </c>
      <c r="G177" s="4" t="s">
        <v>0</v>
      </c>
      <c r="H177" s="4">
        <v>0.87</v>
      </c>
      <c r="I177" s="4" t="s">
        <v>61</v>
      </c>
      <c r="J177" s="4" t="s">
        <v>1</v>
      </c>
      <c r="K177" s="4">
        <v>12.36</v>
      </c>
      <c r="L177" s="7">
        <f t="shared" si="8"/>
        <v>7.0388349514563103E-2</v>
      </c>
      <c r="M177" s="9">
        <v>-4.8811817597944764E-2</v>
      </c>
      <c r="N177" s="5">
        <f t="shared" si="11"/>
        <v>0</v>
      </c>
      <c r="O177" s="3">
        <f t="shared" si="9"/>
        <v>7.0388349514563103E-2</v>
      </c>
      <c r="P177" s="8">
        <v>14</v>
      </c>
      <c r="Q177" s="7">
        <f t="shared" si="10"/>
        <v>5.0277392510402214E-3</v>
      </c>
    </row>
    <row r="178" spans="1:17" x14ac:dyDescent="0.35">
      <c r="A178" s="4" t="s">
        <v>49</v>
      </c>
      <c r="B178" s="4" t="s">
        <v>30</v>
      </c>
      <c r="C178" s="4" t="s">
        <v>20</v>
      </c>
      <c r="D178" s="4">
        <v>10</v>
      </c>
      <c r="E178" s="4" t="s">
        <v>9</v>
      </c>
      <c r="F178" s="4" t="s">
        <v>145</v>
      </c>
      <c r="G178" s="4" t="s">
        <v>62</v>
      </c>
      <c r="H178" s="4">
        <v>0.21</v>
      </c>
      <c r="I178" s="4" t="s">
        <v>63</v>
      </c>
      <c r="J178" s="4" t="s">
        <v>1</v>
      </c>
      <c r="K178" s="4">
        <v>12.36</v>
      </c>
      <c r="L178" s="7">
        <f t="shared" si="8"/>
        <v>1.6990291262135922E-2</v>
      </c>
      <c r="M178" s="9">
        <v>-1.2845215157353885E-3</v>
      </c>
      <c r="N178" s="5">
        <f t="shared" si="11"/>
        <v>0</v>
      </c>
      <c r="O178" s="3">
        <f t="shared" si="9"/>
        <v>1.6990291262135922E-2</v>
      </c>
      <c r="P178" s="8">
        <v>31</v>
      </c>
      <c r="Q178" s="7">
        <f t="shared" si="10"/>
        <v>5.4807391168180388E-4</v>
      </c>
    </row>
    <row r="179" spans="1:17" x14ac:dyDescent="0.35">
      <c r="A179" s="4" t="s">
        <v>32</v>
      </c>
      <c r="B179" s="4" t="s">
        <v>30</v>
      </c>
      <c r="C179" s="4" t="s">
        <v>20</v>
      </c>
      <c r="D179" s="4">
        <v>10</v>
      </c>
      <c r="E179" s="4" t="s">
        <v>9</v>
      </c>
      <c r="F179" s="4" t="s">
        <v>114</v>
      </c>
      <c r="G179" s="4" t="s">
        <v>21</v>
      </c>
      <c r="H179" s="4">
        <v>18.46</v>
      </c>
      <c r="I179" s="4" t="s">
        <v>22</v>
      </c>
      <c r="J179" s="4" t="s">
        <v>1</v>
      </c>
      <c r="K179" s="4">
        <v>10.98</v>
      </c>
      <c r="L179" s="7">
        <f t="shared" si="8"/>
        <v>1.6812386156648451</v>
      </c>
      <c r="M179" s="9">
        <v>0.13406079501169135</v>
      </c>
      <c r="N179" s="5">
        <f t="shared" si="11"/>
        <v>0.13406079501169135</v>
      </c>
      <c r="O179" s="3">
        <f t="shared" si="9"/>
        <v>1.5471778206531537</v>
      </c>
      <c r="P179" s="8">
        <v>12</v>
      </c>
      <c r="Q179" s="7">
        <f t="shared" si="10"/>
        <v>0.12893148505442947</v>
      </c>
    </row>
    <row r="180" spans="1:17" x14ac:dyDescent="0.35">
      <c r="A180" s="4" t="s">
        <v>32</v>
      </c>
      <c r="B180" s="4" t="s">
        <v>30</v>
      </c>
      <c r="C180" s="4" t="s">
        <v>20</v>
      </c>
      <c r="D180" s="4">
        <v>10</v>
      </c>
      <c r="E180" s="4" t="s">
        <v>9</v>
      </c>
      <c r="F180" s="4" t="s">
        <v>114</v>
      </c>
      <c r="G180" s="4" t="s">
        <v>0</v>
      </c>
      <c r="H180" s="4">
        <v>1.26</v>
      </c>
      <c r="I180" s="4" t="s">
        <v>61</v>
      </c>
      <c r="J180" s="4" t="s">
        <v>1</v>
      </c>
      <c r="K180" s="4">
        <v>10.98</v>
      </c>
      <c r="L180" s="7">
        <f t="shared" si="8"/>
        <v>0.11475409836065574</v>
      </c>
      <c r="M180" s="9">
        <v>-3.9750584567420109E-2</v>
      </c>
      <c r="N180" s="5">
        <f t="shared" si="11"/>
        <v>0</v>
      </c>
      <c r="O180" s="3">
        <f t="shared" si="9"/>
        <v>0.11475409836065574</v>
      </c>
      <c r="P180" s="8">
        <v>14</v>
      </c>
      <c r="Q180" s="7">
        <f t="shared" si="10"/>
        <v>8.1967213114754103E-3</v>
      </c>
    </row>
    <row r="181" spans="1:17" x14ac:dyDescent="0.35">
      <c r="A181" s="4" t="s">
        <v>32</v>
      </c>
      <c r="B181" s="4" t="s">
        <v>30</v>
      </c>
      <c r="C181" s="4" t="s">
        <v>20</v>
      </c>
      <c r="D181" s="4">
        <v>10</v>
      </c>
      <c r="E181" s="4" t="s">
        <v>9</v>
      </c>
      <c r="F181" s="4" t="s">
        <v>114</v>
      </c>
      <c r="G181" s="4" t="s">
        <v>62</v>
      </c>
      <c r="H181" s="4">
        <v>0.28000000000000003</v>
      </c>
      <c r="I181" s="4" t="s">
        <v>63</v>
      </c>
      <c r="J181" s="4" t="s">
        <v>1</v>
      </c>
      <c r="K181" s="4">
        <v>10.98</v>
      </c>
      <c r="L181" s="7">
        <f t="shared" si="8"/>
        <v>2.5500910746812388E-2</v>
      </c>
      <c r="M181" s="9">
        <v>4.6765393608729534E-3</v>
      </c>
      <c r="N181" s="5">
        <f t="shared" si="11"/>
        <v>4.6765393608729534E-3</v>
      </c>
      <c r="O181" s="3">
        <f t="shared" si="9"/>
        <v>2.0824371385939434E-2</v>
      </c>
      <c r="P181" s="8">
        <v>31</v>
      </c>
      <c r="Q181" s="7">
        <f t="shared" si="10"/>
        <v>6.7175391567546566E-4</v>
      </c>
    </row>
    <row r="182" spans="1:17" x14ac:dyDescent="0.35">
      <c r="A182" s="4" t="s">
        <v>32</v>
      </c>
      <c r="B182" s="4" t="s">
        <v>30</v>
      </c>
      <c r="C182" s="4" t="s">
        <v>20</v>
      </c>
      <c r="D182" s="4">
        <v>10</v>
      </c>
      <c r="E182" s="4" t="s">
        <v>9</v>
      </c>
      <c r="F182" s="4" t="s">
        <v>114</v>
      </c>
      <c r="G182" s="4" t="s">
        <v>21</v>
      </c>
      <c r="H182" s="4">
        <v>21.29</v>
      </c>
      <c r="I182" s="4" t="s">
        <v>22</v>
      </c>
      <c r="J182" s="4" t="s">
        <v>1</v>
      </c>
      <c r="K182" s="4">
        <v>13.97</v>
      </c>
      <c r="L182" s="7">
        <f t="shared" si="8"/>
        <v>1.523979957050823</v>
      </c>
      <c r="M182" s="9">
        <v>0.13406079501169135</v>
      </c>
      <c r="N182" s="5">
        <f t="shared" si="11"/>
        <v>0.13406079501169135</v>
      </c>
      <c r="O182" s="3">
        <f t="shared" si="9"/>
        <v>1.3899191620391316</v>
      </c>
      <c r="P182" s="8">
        <v>12</v>
      </c>
      <c r="Q182" s="7">
        <f t="shared" si="10"/>
        <v>0.1158265968365943</v>
      </c>
    </row>
    <row r="183" spans="1:17" x14ac:dyDescent="0.35">
      <c r="A183" s="4" t="s">
        <v>32</v>
      </c>
      <c r="B183" s="4" t="s">
        <v>30</v>
      </c>
      <c r="C183" s="4" t="s">
        <v>20</v>
      </c>
      <c r="D183" s="4">
        <v>10</v>
      </c>
      <c r="E183" s="4" t="s">
        <v>9</v>
      </c>
      <c r="F183" s="4" t="s">
        <v>114</v>
      </c>
      <c r="G183" s="4" t="s">
        <v>0</v>
      </c>
      <c r="H183" s="4">
        <v>1.69</v>
      </c>
      <c r="I183" s="4" t="s">
        <v>61</v>
      </c>
      <c r="J183" s="4" t="s">
        <v>1</v>
      </c>
      <c r="K183" s="4">
        <v>13.97</v>
      </c>
      <c r="L183" s="7">
        <f t="shared" si="8"/>
        <v>0.12097351467430206</v>
      </c>
      <c r="M183" s="9">
        <v>-3.9750584567420109E-2</v>
      </c>
      <c r="N183" s="5">
        <f t="shared" si="11"/>
        <v>0</v>
      </c>
      <c r="O183" s="3">
        <f t="shared" si="9"/>
        <v>0.12097351467430206</v>
      </c>
      <c r="P183" s="8">
        <v>14</v>
      </c>
      <c r="Q183" s="7">
        <f t="shared" si="10"/>
        <v>8.6409653338787185E-3</v>
      </c>
    </row>
    <row r="184" spans="1:17" x14ac:dyDescent="0.35">
      <c r="A184" s="4" t="s">
        <v>32</v>
      </c>
      <c r="B184" s="4" t="s">
        <v>30</v>
      </c>
      <c r="C184" s="4" t="s">
        <v>20</v>
      </c>
      <c r="D184" s="4">
        <v>10</v>
      </c>
      <c r="E184" s="4" t="s">
        <v>9</v>
      </c>
      <c r="F184" s="4" t="s">
        <v>114</v>
      </c>
      <c r="G184" s="4" t="s">
        <v>62</v>
      </c>
      <c r="H184" s="4">
        <v>0.28000000000000003</v>
      </c>
      <c r="I184" s="4" t="s">
        <v>63</v>
      </c>
      <c r="J184" s="4" t="s">
        <v>1</v>
      </c>
      <c r="K184" s="4">
        <v>13.97</v>
      </c>
      <c r="L184" s="7">
        <f t="shared" si="8"/>
        <v>2.0042949176807445E-2</v>
      </c>
      <c r="M184" s="9">
        <v>4.6765393608729534E-3</v>
      </c>
      <c r="N184" s="5">
        <f t="shared" si="11"/>
        <v>4.6765393608729534E-3</v>
      </c>
      <c r="O184" s="3">
        <f t="shared" si="9"/>
        <v>1.5366409815934491E-2</v>
      </c>
      <c r="P184" s="8">
        <v>31</v>
      </c>
      <c r="Q184" s="7">
        <f t="shared" si="10"/>
        <v>4.9569063922369331E-4</v>
      </c>
    </row>
    <row r="185" spans="1:17" x14ac:dyDescent="0.35">
      <c r="A185" s="4" t="s">
        <v>32</v>
      </c>
      <c r="B185" s="4" t="s">
        <v>30</v>
      </c>
      <c r="C185" s="4" t="s">
        <v>20</v>
      </c>
      <c r="D185" s="4">
        <v>10</v>
      </c>
      <c r="E185" s="4" t="s">
        <v>9</v>
      </c>
      <c r="F185" s="4" t="s">
        <v>114</v>
      </c>
      <c r="G185" s="4" t="s">
        <v>21</v>
      </c>
      <c r="H185" s="4">
        <v>23.72</v>
      </c>
      <c r="I185" s="4" t="s">
        <v>22</v>
      </c>
      <c r="J185" s="4" t="s">
        <v>1</v>
      </c>
      <c r="K185" s="4">
        <v>13.49</v>
      </c>
      <c r="L185" s="7">
        <f t="shared" si="8"/>
        <v>1.7583395107487025</v>
      </c>
      <c r="M185" s="9">
        <v>0.13406079501169135</v>
      </c>
      <c r="N185" s="5">
        <f t="shared" si="11"/>
        <v>0.13406079501169135</v>
      </c>
      <c r="O185" s="3">
        <f t="shared" si="9"/>
        <v>1.6242787157370111</v>
      </c>
      <c r="P185" s="8">
        <v>12</v>
      </c>
      <c r="Q185" s="7">
        <f t="shared" si="10"/>
        <v>0.13535655964475093</v>
      </c>
    </row>
    <row r="186" spans="1:17" x14ac:dyDescent="0.35">
      <c r="A186" s="4" t="s">
        <v>32</v>
      </c>
      <c r="B186" s="4" t="s">
        <v>30</v>
      </c>
      <c r="C186" s="4" t="s">
        <v>20</v>
      </c>
      <c r="D186" s="4">
        <v>10</v>
      </c>
      <c r="E186" s="4" t="s">
        <v>9</v>
      </c>
      <c r="F186" s="4" t="s">
        <v>114</v>
      </c>
      <c r="G186" s="4" t="s">
        <v>0</v>
      </c>
      <c r="H186" s="4">
        <v>2.82</v>
      </c>
      <c r="I186" s="4" t="s">
        <v>61</v>
      </c>
      <c r="J186" s="4" t="s">
        <v>1</v>
      </c>
      <c r="K186" s="4">
        <v>13.49</v>
      </c>
      <c r="L186" s="7">
        <f t="shared" si="8"/>
        <v>0.20904373610081539</v>
      </c>
      <c r="M186" s="9">
        <v>-3.9750584567420109E-2</v>
      </c>
      <c r="N186" s="5">
        <f t="shared" si="11"/>
        <v>0</v>
      </c>
      <c r="O186" s="3">
        <f t="shared" si="9"/>
        <v>0.20904373610081539</v>
      </c>
      <c r="P186" s="8">
        <v>14</v>
      </c>
      <c r="Q186" s="7">
        <f t="shared" si="10"/>
        <v>1.4931695435772527E-2</v>
      </c>
    </row>
    <row r="187" spans="1:17" x14ac:dyDescent="0.35">
      <c r="A187" s="4" t="s">
        <v>32</v>
      </c>
      <c r="B187" s="4" t="s">
        <v>30</v>
      </c>
      <c r="C187" s="4" t="s">
        <v>20</v>
      </c>
      <c r="D187" s="4">
        <v>10</v>
      </c>
      <c r="E187" s="4" t="s">
        <v>9</v>
      </c>
      <c r="F187" s="4" t="s">
        <v>114</v>
      </c>
      <c r="G187" s="4" t="s">
        <v>62</v>
      </c>
      <c r="H187" s="4">
        <v>0.25</v>
      </c>
      <c r="I187" s="4" t="s">
        <v>63</v>
      </c>
      <c r="J187" s="4" t="s">
        <v>1</v>
      </c>
      <c r="K187" s="4">
        <v>13.49</v>
      </c>
      <c r="L187" s="7">
        <f t="shared" si="8"/>
        <v>1.8532246108228317E-2</v>
      </c>
      <c r="M187" s="9">
        <v>4.6765393608729534E-3</v>
      </c>
      <c r="N187" s="5">
        <f t="shared" si="11"/>
        <v>4.6765393608729534E-3</v>
      </c>
      <c r="O187" s="3">
        <f t="shared" si="9"/>
        <v>1.3855706747355364E-2</v>
      </c>
      <c r="P187" s="8">
        <v>31</v>
      </c>
      <c r="Q187" s="7">
        <f t="shared" si="10"/>
        <v>4.4695828217275365E-4</v>
      </c>
    </row>
    <row r="188" spans="1:17" x14ac:dyDescent="0.35">
      <c r="A188" s="4" t="s">
        <v>32</v>
      </c>
      <c r="B188" s="4" t="s">
        <v>30</v>
      </c>
      <c r="C188" s="4" t="s">
        <v>20</v>
      </c>
      <c r="D188" s="4">
        <v>10</v>
      </c>
      <c r="E188" s="4" t="s">
        <v>9</v>
      </c>
      <c r="F188" s="4" t="s">
        <v>114</v>
      </c>
      <c r="G188" s="4" t="s">
        <v>21</v>
      </c>
      <c r="H188" s="4">
        <v>23.86</v>
      </c>
      <c r="I188" s="4" t="s">
        <v>22</v>
      </c>
      <c r="J188" s="4" t="s">
        <v>1</v>
      </c>
      <c r="K188" s="4">
        <v>14.04</v>
      </c>
      <c r="L188" s="7">
        <f t="shared" si="8"/>
        <v>1.6994301994301995</v>
      </c>
      <c r="M188" s="9">
        <v>0.13406079501169135</v>
      </c>
      <c r="N188" s="5">
        <f t="shared" si="11"/>
        <v>0.13406079501169135</v>
      </c>
      <c r="O188" s="3">
        <f t="shared" si="9"/>
        <v>1.565369404418508</v>
      </c>
      <c r="P188" s="8">
        <v>12</v>
      </c>
      <c r="Q188" s="7">
        <f t="shared" si="10"/>
        <v>0.13044745036820901</v>
      </c>
    </row>
    <row r="189" spans="1:17" x14ac:dyDescent="0.35">
      <c r="A189" s="4" t="s">
        <v>32</v>
      </c>
      <c r="B189" s="4" t="s">
        <v>30</v>
      </c>
      <c r="C189" s="4" t="s">
        <v>20</v>
      </c>
      <c r="D189" s="4">
        <v>10</v>
      </c>
      <c r="E189" s="4" t="s">
        <v>9</v>
      </c>
      <c r="F189" s="4" t="s">
        <v>114</v>
      </c>
      <c r="G189" s="4" t="s">
        <v>0</v>
      </c>
      <c r="H189" s="4">
        <v>1.41</v>
      </c>
      <c r="I189" s="4" t="s">
        <v>61</v>
      </c>
      <c r="J189" s="4" t="s">
        <v>1</v>
      </c>
      <c r="K189" s="4">
        <v>14.04</v>
      </c>
      <c r="L189" s="7">
        <f t="shared" si="8"/>
        <v>0.10042735042735043</v>
      </c>
      <c r="M189" s="9">
        <v>-3.9750584567420109E-2</v>
      </c>
      <c r="N189" s="5">
        <f t="shared" si="11"/>
        <v>0</v>
      </c>
      <c r="O189" s="3">
        <f t="shared" si="9"/>
        <v>0.10042735042735043</v>
      </c>
      <c r="P189" s="8">
        <v>14</v>
      </c>
      <c r="Q189" s="7">
        <f t="shared" si="10"/>
        <v>7.1733821733821739E-3</v>
      </c>
    </row>
    <row r="190" spans="1:17" x14ac:dyDescent="0.35">
      <c r="A190" s="4" t="s">
        <v>32</v>
      </c>
      <c r="B190" s="4" t="s">
        <v>30</v>
      </c>
      <c r="C190" s="4" t="s">
        <v>20</v>
      </c>
      <c r="D190" s="4">
        <v>10</v>
      </c>
      <c r="E190" s="4" t="s">
        <v>9</v>
      </c>
      <c r="F190" s="4" t="s">
        <v>114</v>
      </c>
      <c r="G190" s="4" t="s">
        <v>62</v>
      </c>
      <c r="H190" s="4">
        <v>0.15</v>
      </c>
      <c r="I190" s="4" t="s">
        <v>63</v>
      </c>
      <c r="J190" s="4" t="s">
        <v>1</v>
      </c>
      <c r="K190" s="4">
        <v>14.04</v>
      </c>
      <c r="L190" s="7">
        <f t="shared" si="8"/>
        <v>1.0683760683760684E-2</v>
      </c>
      <c r="M190" s="9">
        <v>4.6765393608729534E-3</v>
      </c>
      <c r="N190" s="5">
        <f t="shared" si="11"/>
        <v>4.6765393608729534E-3</v>
      </c>
      <c r="O190" s="3">
        <f t="shared" si="9"/>
        <v>6.0072213228877305E-3</v>
      </c>
      <c r="P190" s="8">
        <v>31</v>
      </c>
      <c r="Q190" s="7">
        <f t="shared" si="10"/>
        <v>1.937813329963784E-4</v>
      </c>
    </row>
    <row r="191" spans="1:17" x14ac:dyDescent="0.35">
      <c r="A191" s="4" t="s">
        <v>50</v>
      </c>
      <c r="B191" s="4" t="s">
        <v>34</v>
      </c>
      <c r="C191" s="4" t="s">
        <v>20</v>
      </c>
      <c r="D191" s="4">
        <v>20</v>
      </c>
      <c r="E191" s="4" t="s">
        <v>9</v>
      </c>
      <c r="F191" s="4" t="s">
        <v>145</v>
      </c>
      <c r="G191" s="4" t="s">
        <v>21</v>
      </c>
      <c r="H191" s="4">
        <v>7.49</v>
      </c>
      <c r="I191" s="4" t="s">
        <v>22</v>
      </c>
      <c r="J191" s="4" t="s">
        <v>1</v>
      </c>
      <c r="K191" s="4">
        <v>8.43</v>
      </c>
      <c r="L191" s="7">
        <f t="shared" si="8"/>
        <v>0.88849347568208781</v>
      </c>
      <c r="M191" s="9">
        <v>0.39269406392694062</v>
      </c>
      <c r="N191" s="5">
        <f t="shared" si="11"/>
        <v>0.39269406392694062</v>
      </c>
      <c r="O191" s="3">
        <f t="shared" si="9"/>
        <v>0.49579941175514719</v>
      </c>
      <c r="P191" s="8">
        <v>12</v>
      </c>
      <c r="Q191" s="7">
        <f t="shared" si="10"/>
        <v>4.1316617646262266E-2</v>
      </c>
    </row>
    <row r="192" spans="1:17" x14ac:dyDescent="0.35">
      <c r="A192" s="4" t="s">
        <v>50</v>
      </c>
      <c r="B192" s="4" t="s">
        <v>34</v>
      </c>
      <c r="C192" s="4" t="s">
        <v>20</v>
      </c>
      <c r="D192" s="4">
        <v>20</v>
      </c>
      <c r="E192" s="4" t="s">
        <v>9</v>
      </c>
      <c r="F192" s="4" t="s">
        <v>145</v>
      </c>
      <c r="G192" s="4" t="s">
        <v>0</v>
      </c>
      <c r="H192" s="4">
        <v>-0.02</v>
      </c>
      <c r="I192" s="4" t="s">
        <v>61</v>
      </c>
      <c r="J192" s="4" t="s">
        <v>1</v>
      </c>
      <c r="K192" s="4">
        <v>8.43</v>
      </c>
      <c r="L192" s="7">
        <f t="shared" si="8"/>
        <v>-2.3724792408066431E-3</v>
      </c>
      <c r="M192" s="9">
        <v>-5.0228310502283109E-2</v>
      </c>
      <c r="N192" s="5">
        <f t="shared" si="11"/>
        <v>0</v>
      </c>
      <c r="O192" s="3">
        <f t="shared" si="9"/>
        <v>-2.3724792408066431E-3</v>
      </c>
      <c r="P192" s="8">
        <v>14</v>
      </c>
      <c r="Q192" s="7">
        <f t="shared" si="10"/>
        <v>-1.6946280291476023E-4</v>
      </c>
    </row>
    <row r="193" spans="1:17" x14ac:dyDescent="0.35">
      <c r="A193" s="4" t="s">
        <v>50</v>
      </c>
      <c r="B193" s="4" t="s">
        <v>34</v>
      </c>
      <c r="C193" s="4" t="s">
        <v>20</v>
      </c>
      <c r="D193" s="4">
        <v>20</v>
      </c>
      <c r="E193" s="4" t="s">
        <v>9</v>
      </c>
      <c r="F193" s="4" t="s">
        <v>145</v>
      </c>
      <c r="G193" s="4" t="s">
        <v>62</v>
      </c>
      <c r="H193" s="4">
        <v>0.03</v>
      </c>
      <c r="I193" s="4" t="s">
        <v>63</v>
      </c>
      <c r="J193" s="4" t="s">
        <v>1</v>
      </c>
      <c r="K193" s="4">
        <v>8.43</v>
      </c>
      <c r="L193" s="7">
        <f t="shared" si="8"/>
        <v>3.5587188612099642E-3</v>
      </c>
      <c r="M193" s="9">
        <v>1.1415525114155253E-3</v>
      </c>
      <c r="N193" s="5">
        <f t="shared" si="11"/>
        <v>1.1415525114155253E-3</v>
      </c>
      <c r="O193" s="3">
        <f t="shared" si="9"/>
        <v>2.4171663497944392E-3</v>
      </c>
      <c r="P193" s="8">
        <v>31</v>
      </c>
      <c r="Q193" s="7">
        <f t="shared" si="10"/>
        <v>7.797310805788513E-5</v>
      </c>
    </row>
    <row r="194" spans="1:17" x14ac:dyDescent="0.35">
      <c r="A194" s="4" t="s">
        <v>50</v>
      </c>
      <c r="B194" s="4" t="s">
        <v>34</v>
      </c>
      <c r="C194" s="4" t="s">
        <v>20</v>
      </c>
      <c r="D194" s="4">
        <v>20</v>
      </c>
      <c r="E194" s="4" t="s">
        <v>9</v>
      </c>
      <c r="F194" s="4" t="s">
        <v>145</v>
      </c>
      <c r="G194" s="4" t="s">
        <v>21</v>
      </c>
      <c r="H194" s="4">
        <v>12.84</v>
      </c>
      <c r="I194" s="4" t="s">
        <v>22</v>
      </c>
      <c r="J194" s="4" t="s">
        <v>1</v>
      </c>
      <c r="K194" s="4">
        <v>7.86</v>
      </c>
      <c r="L194" s="7">
        <f t="shared" si="8"/>
        <v>1.6335877862595418</v>
      </c>
      <c r="M194" s="9">
        <v>0.39269406392694062</v>
      </c>
      <c r="N194" s="5">
        <f t="shared" si="11"/>
        <v>0.39269406392694062</v>
      </c>
      <c r="O194" s="3">
        <f t="shared" si="9"/>
        <v>1.2408937223326011</v>
      </c>
      <c r="P194" s="8">
        <v>12</v>
      </c>
      <c r="Q194" s="7">
        <f t="shared" si="10"/>
        <v>0.10340781019438343</v>
      </c>
    </row>
    <row r="195" spans="1:17" x14ac:dyDescent="0.35">
      <c r="A195" s="4" t="s">
        <v>50</v>
      </c>
      <c r="B195" s="4" t="s">
        <v>34</v>
      </c>
      <c r="C195" s="4" t="s">
        <v>20</v>
      </c>
      <c r="D195" s="4">
        <v>20</v>
      </c>
      <c r="E195" s="4" t="s">
        <v>9</v>
      </c>
      <c r="F195" s="4" t="s">
        <v>145</v>
      </c>
      <c r="G195" s="4" t="s">
        <v>0</v>
      </c>
      <c r="H195" s="4">
        <v>0.35</v>
      </c>
      <c r="I195" s="4" t="s">
        <v>61</v>
      </c>
      <c r="J195" s="4" t="s">
        <v>1</v>
      </c>
      <c r="K195" s="4">
        <v>7.86</v>
      </c>
      <c r="L195" s="7">
        <f t="shared" ref="L195:L258" si="12">H195/K195</f>
        <v>4.452926208651399E-2</v>
      </c>
      <c r="M195" s="9">
        <v>-5.0228310502283109E-2</v>
      </c>
      <c r="N195" s="5">
        <f t="shared" si="11"/>
        <v>0</v>
      </c>
      <c r="O195" s="3">
        <f t="shared" ref="O195:O258" si="13">L195-N195</f>
        <v>4.452926208651399E-2</v>
      </c>
      <c r="P195" s="8">
        <v>14</v>
      </c>
      <c r="Q195" s="7">
        <f t="shared" ref="Q195:Q258" si="14">O195/P195</f>
        <v>3.1806615776081423E-3</v>
      </c>
    </row>
    <row r="196" spans="1:17" x14ac:dyDescent="0.35">
      <c r="A196" s="4" t="s">
        <v>50</v>
      </c>
      <c r="B196" s="4" t="s">
        <v>34</v>
      </c>
      <c r="C196" s="4" t="s">
        <v>20</v>
      </c>
      <c r="D196" s="4">
        <v>20</v>
      </c>
      <c r="E196" s="4" t="s">
        <v>9</v>
      </c>
      <c r="F196" s="4" t="s">
        <v>145</v>
      </c>
      <c r="G196" s="4" t="s">
        <v>62</v>
      </c>
      <c r="H196" s="4">
        <v>0.28999999999999998</v>
      </c>
      <c r="I196" s="4" t="s">
        <v>63</v>
      </c>
      <c r="J196" s="4" t="s">
        <v>1</v>
      </c>
      <c r="K196" s="4">
        <v>7.86</v>
      </c>
      <c r="L196" s="7">
        <f t="shared" si="12"/>
        <v>3.689567430025445E-2</v>
      </c>
      <c r="M196" s="9">
        <v>1.1415525114155253E-3</v>
      </c>
      <c r="N196" s="5">
        <f t="shared" ref="N196:N259" si="15">IF(M196&lt;0,0,M196)</f>
        <v>1.1415525114155253E-3</v>
      </c>
      <c r="O196" s="3">
        <f t="shared" si="13"/>
        <v>3.5754121788838925E-2</v>
      </c>
      <c r="P196" s="8">
        <v>31</v>
      </c>
      <c r="Q196" s="7">
        <f t="shared" si="14"/>
        <v>1.1533587673819008E-3</v>
      </c>
    </row>
    <row r="197" spans="1:17" x14ac:dyDescent="0.35">
      <c r="A197" s="4" t="s">
        <v>33</v>
      </c>
      <c r="B197" s="4" t="s">
        <v>34</v>
      </c>
      <c r="C197" s="4" t="s">
        <v>20</v>
      </c>
      <c r="D197" s="4">
        <v>20</v>
      </c>
      <c r="E197" s="4" t="s">
        <v>9</v>
      </c>
      <c r="F197" s="4" t="s">
        <v>114</v>
      </c>
      <c r="G197" s="4" t="s">
        <v>21</v>
      </c>
      <c r="H197" s="4">
        <v>14.68</v>
      </c>
      <c r="I197" s="4" t="s">
        <v>22</v>
      </c>
      <c r="J197" s="4" t="s">
        <v>1</v>
      </c>
      <c r="K197" s="4">
        <v>7.38</v>
      </c>
      <c r="L197" s="7">
        <f t="shared" si="12"/>
        <v>1.9891598915989159</v>
      </c>
      <c r="M197" s="9">
        <v>0.10545454545454545</v>
      </c>
      <c r="N197" s="5">
        <f t="shared" si="15"/>
        <v>0.10545454545454545</v>
      </c>
      <c r="O197" s="3">
        <f t="shared" si="13"/>
        <v>1.8837053461443705</v>
      </c>
      <c r="P197" s="8">
        <v>12</v>
      </c>
      <c r="Q197" s="7">
        <f t="shared" si="14"/>
        <v>0.15697544551203088</v>
      </c>
    </row>
    <row r="198" spans="1:17" x14ac:dyDescent="0.35">
      <c r="A198" s="4" t="s">
        <v>33</v>
      </c>
      <c r="B198" s="4" t="s">
        <v>34</v>
      </c>
      <c r="C198" s="4" t="s">
        <v>20</v>
      </c>
      <c r="D198" s="4">
        <v>20</v>
      </c>
      <c r="E198" s="4" t="s">
        <v>9</v>
      </c>
      <c r="F198" s="4" t="s">
        <v>114</v>
      </c>
      <c r="G198" s="4" t="s">
        <v>0</v>
      </c>
      <c r="H198" s="4">
        <v>1.5</v>
      </c>
      <c r="I198" s="4" t="s">
        <v>61</v>
      </c>
      <c r="J198" s="4" t="s">
        <v>1</v>
      </c>
      <c r="K198" s="4">
        <v>7.38</v>
      </c>
      <c r="L198" s="7">
        <f t="shared" si="12"/>
        <v>0.2032520325203252</v>
      </c>
      <c r="M198" s="9">
        <v>-7.2727272727272738E-2</v>
      </c>
      <c r="N198" s="5">
        <f t="shared" si="15"/>
        <v>0</v>
      </c>
      <c r="O198" s="3">
        <f t="shared" si="13"/>
        <v>0.2032520325203252</v>
      </c>
      <c r="P198" s="8">
        <v>14</v>
      </c>
      <c r="Q198" s="7">
        <f t="shared" si="14"/>
        <v>1.4518002322880372E-2</v>
      </c>
    </row>
    <row r="199" spans="1:17" x14ac:dyDescent="0.35">
      <c r="A199" s="4" t="s">
        <v>33</v>
      </c>
      <c r="B199" s="4" t="s">
        <v>34</v>
      </c>
      <c r="C199" s="4" t="s">
        <v>20</v>
      </c>
      <c r="D199" s="4">
        <v>20</v>
      </c>
      <c r="E199" s="4" t="s">
        <v>9</v>
      </c>
      <c r="F199" s="4" t="s">
        <v>114</v>
      </c>
      <c r="G199" s="4" t="s">
        <v>62</v>
      </c>
      <c r="H199" s="4">
        <v>0.3</v>
      </c>
      <c r="I199" s="4" t="s">
        <v>63</v>
      </c>
      <c r="J199" s="4" t="s">
        <v>1</v>
      </c>
      <c r="K199" s="4">
        <v>7.38</v>
      </c>
      <c r="L199" s="7">
        <f t="shared" si="12"/>
        <v>4.065040650406504E-2</v>
      </c>
      <c r="M199" s="9">
        <v>3.6363636363636364E-3</v>
      </c>
      <c r="N199" s="5">
        <f t="shared" si="15"/>
        <v>3.6363636363636364E-3</v>
      </c>
      <c r="O199" s="3">
        <f t="shared" si="13"/>
        <v>3.7014042867701401E-2</v>
      </c>
      <c r="P199" s="8">
        <v>31</v>
      </c>
      <c r="Q199" s="7">
        <f t="shared" si="14"/>
        <v>1.1940013828290773E-3</v>
      </c>
    </row>
    <row r="200" spans="1:17" x14ac:dyDescent="0.35">
      <c r="A200" s="4" t="s">
        <v>33</v>
      </c>
      <c r="B200" s="4" t="s">
        <v>34</v>
      </c>
      <c r="C200" s="4" t="s">
        <v>20</v>
      </c>
      <c r="D200" s="4">
        <v>20</v>
      </c>
      <c r="E200" s="4" t="s">
        <v>9</v>
      </c>
      <c r="F200" s="4" t="s">
        <v>114</v>
      </c>
      <c r="G200" s="4" t="s">
        <v>21</v>
      </c>
      <c r="H200" s="4">
        <v>11.72</v>
      </c>
      <c r="I200" s="4" t="s">
        <v>22</v>
      </c>
      <c r="J200" s="4" t="s">
        <v>1</v>
      </c>
      <c r="K200" s="4">
        <v>9.11</v>
      </c>
      <c r="L200" s="7">
        <f t="shared" si="12"/>
        <v>1.286498353457739</v>
      </c>
      <c r="M200" s="9">
        <v>0.10545454545454545</v>
      </c>
      <c r="N200" s="5">
        <f t="shared" si="15"/>
        <v>0.10545454545454545</v>
      </c>
      <c r="O200" s="3">
        <f t="shared" si="13"/>
        <v>1.1810438080031935</v>
      </c>
      <c r="P200" s="8">
        <v>12</v>
      </c>
      <c r="Q200" s="7">
        <f t="shared" si="14"/>
        <v>9.8420317333599461E-2</v>
      </c>
    </row>
    <row r="201" spans="1:17" x14ac:dyDescent="0.35">
      <c r="A201" s="4" t="s">
        <v>33</v>
      </c>
      <c r="B201" s="4" t="s">
        <v>34</v>
      </c>
      <c r="C201" s="4" t="s">
        <v>20</v>
      </c>
      <c r="D201" s="4">
        <v>20</v>
      </c>
      <c r="E201" s="4" t="s">
        <v>9</v>
      </c>
      <c r="F201" s="4" t="s">
        <v>114</v>
      </c>
      <c r="G201" s="4" t="s">
        <v>0</v>
      </c>
      <c r="H201" s="4">
        <v>0.44</v>
      </c>
      <c r="I201" s="4" t="s">
        <v>61</v>
      </c>
      <c r="J201" s="4" t="s">
        <v>1</v>
      </c>
      <c r="K201" s="4">
        <v>9.11</v>
      </c>
      <c r="L201" s="7">
        <f t="shared" si="12"/>
        <v>4.8298572996706916E-2</v>
      </c>
      <c r="M201" s="9">
        <v>-7.2727272727272738E-2</v>
      </c>
      <c r="N201" s="5">
        <f t="shared" si="15"/>
        <v>0</v>
      </c>
      <c r="O201" s="3">
        <f t="shared" si="13"/>
        <v>4.8298572996706916E-2</v>
      </c>
      <c r="P201" s="8">
        <v>14</v>
      </c>
      <c r="Q201" s="7">
        <f t="shared" si="14"/>
        <v>3.449898071193351E-3</v>
      </c>
    </row>
    <row r="202" spans="1:17" x14ac:dyDescent="0.35">
      <c r="A202" s="4" t="s">
        <v>33</v>
      </c>
      <c r="B202" s="4" t="s">
        <v>34</v>
      </c>
      <c r="C202" s="4" t="s">
        <v>20</v>
      </c>
      <c r="D202" s="4">
        <v>20</v>
      </c>
      <c r="E202" s="4" t="s">
        <v>9</v>
      </c>
      <c r="F202" s="4" t="s">
        <v>114</v>
      </c>
      <c r="G202" s="4" t="s">
        <v>62</v>
      </c>
      <c r="H202" s="4">
        <v>0.15</v>
      </c>
      <c r="I202" s="4" t="s">
        <v>63</v>
      </c>
      <c r="J202" s="4" t="s">
        <v>1</v>
      </c>
      <c r="K202" s="4">
        <v>9.11</v>
      </c>
      <c r="L202" s="7">
        <f t="shared" si="12"/>
        <v>1.6465422612513721E-2</v>
      </c>
      <c r="M202" s="9">
        <v>3.6363636363636364E-3</v>
      </c>
      <c r="N202" s="5">
        <f t="shared" si="15"/>
        <v>3.6363636363636364E-3</v>
      </c>
      <c r="O202" s="3">
        <f t="shared" si="13"/>
        <v>1.2829058976150085E-2</v>
      </c>
      <c r="P202" s="8">
        <v>31</v>
      </c>
      <c r="Q202" s="7">
        <f t="shared" si="14"/>
        <v>4.1384061213387371E-4</v>
      </c>
    </row>
    <row r="203" spans="1:17" x14ac:dyDescent="0.35">
      <c r="A203" s="4" t="s">
        <v>35</v>
      </c>
      <c r="B203" s="4" t="s">
        <v>34</v>
      </c>
      <c r="C203" s="4" t="s">
        <v>20</v>
      </c>
      <c r="D203" s="4">
        <v>20</v>
      </c>
      <c r="E203" s="4" t="s">
        <v>9</v>
      </c>
      <c r="F203" s="4" t="s">
        <v>114</v>
      </c>
      <c r="G203" s="4" t="s">
        <v>21</v>
      </c>
      <c r="H203" s="4">
        <v>15.47</v>
      </c>
      <c r="I203" s="4" t="s">
        <v>22</v>
      </c>
      <c r="J203" s="4" t="s">
        <v>1</v>
      </c>
      <c r="K203" s="4">
        <v>9.73</v>
      </c>
      <c r="L203" s="7">
        <f t="shared" si="12"/>
        <v>1.5899280575539567</v>
      </c>
      <c r="M203" s="9">
        <v>0.25450450450450446</v>
      </c>
      <c r="N203" s="5">
        <f t="shared" si="15"/>
        <v>0.25450450450450446</v>
      </c>
      <c r="O203" s="3">
        <f t="shared" si="13"/>
        <v>1.3354235530494523</v>
      </c>
      <c r="P203" s="8">
        <v>12</v>
      </c>
      <c r="Q203" s="7">
        <f t="shared" si="14"/>
        <v>0.11128529608745436</v>
      </c>
    </row>
    <row r="204" spans="1:17" x14ac:dyDescent="0.35">
      <c r="A204" s="4" t="s">
        <v>35</v>
      </c>
      <c r="B204" s="4" t="s">
        <v>34</v>
      </c>
      <c r="C204" s="4" t="s">
        <v>20</v>
      </c>
      <c r="D204" s="4">
        <v>20</v>
      </c>
      <c r="E204" s="4" t="s">
        <v>9</v>
      </c>
      <c r="F204" s="4" t="s">
        <v>114</v>
      </c>
      <c r="G204" s="4" t="s">
        <v>0</v>
      </c>
      <c r="H204" s="4">
        <v>0.77</v>
      </c>
      <c r="I204" s="4" t="s">
        <v>61</v>
      </c>
      <c r="J204" s="4" t="s">
        <v>1</v>
      </c>
      <c r="K204" s="4">
        <v>9.73</v>
      </c>
      <c r="L204" s="7">
        <f t="shared" si="12"/>
        <v>7.9136690647482008E-2</v>
      </c>
      <c r="M204" s="9">
        <v>-7.5450450450450443E-2</v>
      </c>
      <c r="N204" s="5">
        <f t="shared" si="15"/>
        <v>0</v>
      </c>
      <c r="O204" s="3">
        <f t="shared" si="13"/>
        <v>7.9136690647482008E-2</v>
      </c>
      <c r="P204" s="8">
        <v>14</v>
      </c>
      <c r="Q204" s="7">
        <f t="shared" si="14"/>
        <v>5.6526207605344294E-3</v>
      </c>
    </row>
    <row r="205" spans="1:17" x14ac:dyDescent="0.35">
      <c r="A205" s="4" t="s">
        <v>35</v>
      </c>
      <c r="B205" s="4" t="s">
        <v>34</v>
      </c>
      <c r="C205" s="4" t="s">
        <v>20</v>
      </c>
      <c r="D205" s="4">
        <v>20</v>
      </c>
      <c r="E205" s="4" t="s">
        <v>9</v>
      </c>
      <c r="F205" s="4" t="s">
        <v>114</v>
      </c>
      <c r="G205" s="4" t="s">
        <v>62</v>
      </c>
      <c r="H205" s="4">
        <v>0.15</v>
      </c>
      <c r="I205" s="4" t="s">
        <v>63</v>
      </c>
      <c r="J205" s="4" t="s">
        <v>1</v>
      </c>
      <c r="K205" s="4">
        <v>9.73</v>
      </c>
      <c r="L205" s="7">
        <f t="shared" si="12"/>
        <v>1.541623843782117E-2</v>
      </c>
      <c r="M205" s="9">
        <v>-1.1261261261261261E-3</v>
      </c>
      <c r="N205" s="5">
        <f t="shared" si="15"/>
        <v>0</v>
      </c>
      <c r="O205" s="3">
        <f t="shared" si="13"/>
        <v>1.541623843782117E-2</v>
      </c>
      <c r="P205" s="8">
        <v>31</v>
      </c>
      <c r="Q205" s="7">
        <f t="shared" si="14"/>
        <v>4.9729801412326362E-4</v>
      </c>
    </row>
    <row r="206" spans="1:17" x14ac:dyDescent="0.35">
      <c r="A206" s="4" t="s">
        <v>35</v>
      </c>
      <c r="B206" s="4" t="s">
        <v>34</v>
      </c>
      <c r="C206" s="4" t="s">
        <v>20</v>
      </c>
      <c r="D206" s="4">
        <v>20</v>
      </c>
      <c r="E206" s="4" t="s">
        <v>9</v>
      </c>
      <c r="F206" s="4" t="s">
        <v>114</v>
      </c>
      <c r="G206" s="4" t="s">
        <v>21</v>
      </c>
      <c r="H206" s="4">
        <v>12.65</v>
      </c>
      <c r="I206" s="4" t="s">
        <v>22</v>
      </c>
      <c r="J206" s="4" t="s">
        <v>1</v>
      </c>
      <c r="K206" s="4">
        <v>9.52</v>
      </c>
      <c r="L206" s="7">
        <f t="shared" si="12"/>
        <v>1.3287815126050422</v>
      </c>
      <c r="M206" s="9">
        <v>0.25450450450450446</v>
      </c>
      <c r="N206" s="5">
        <f t="shared" si="15"/>
        <v>0.25450450450450446</v>
      </c>
      <c r="O206" s="3">
        <f t="shared" si="13"/>
        <v>1.0742770081005377</v>
      </c>
      <c r="P206" s="8">
        <v>12</v>
      </c>
      <c r="Q206" s="7">
        <f t="shared" si="14"/>
        <v>8.9523084008378148E-2</v>
      </c>
    </row>
    <row r="207" spans="1:17" x14ac:dyDescent="0.35">
      <c r="A207" s="4" t="s">
        <v>35</v>
      </c>
      <c r="B207" s="4" t="s">
        <v>34</v>
      </c>
      <c r="C207" s="4" t="s">
        <v>20</v>
      </c>
      <c r="D207" s="4">
        <v>20</v>
      </c>
      <c r="E207" s="4" t="s">
        <v>9</v>
      </c>
      <c r="F207" s="4" t="s">
        <v>114</v>
      </c>
      <c r="G207" s="4" t="s">
        <v>0</v>
      </c>
      <c r="H207" s="4">
        <v>0.76</v>
      </c>
      <c r="I207" s="4" t="s">
        <v>61</v>
      </c>
      <c r="J207" s="4" t="s">
        <v>1</v>
      </c>
      <c r="K207" s="4">
        <v>9.52</v>
      </c>
      <c r="L207" s="7">
        <f t="shared" si="12"/>
        <v>7.9831932773109252E-2</v>
      </c>
      <c r="M207" s="9">
        <v>-7.5450450450450443E-2</v>
      </c>
      <c r="N207" s="5">
        <f t="shared" si="15"/>
        <v>0</v>
      </c>
      <c r="O207" s="3">
        <f t="shared" si="13"/>
        <v>7.9831932773109252E-2</v>
      </c>
      <c r="P207" s="8">
        <v>14</v>
      </c>
      <c r="Q207" s="7">
        <f t="shared" si="14"/>
        <v>5.7022809123649463E-3</v>
      </c>
    </row>
    <row r="208" spans="1:17" x14ac:dyDescent="0.35">
      <c r="A208" s="4" t="s">
        <v>35</v>
      </c>
      <c r="B208" s="4" t="s">
        <v>34</v>
      </c>
      <c r="C208" s="4" t="s">
        <v>20</v>
      </c>
      <c r="D208" s="4">
        <v>20</v>
      </c>
      <c r="E208" s="4" t="s">
        <v>9</v>
      </c>
      <c r="F208" s="4" t="s">
        <v>114</v>
      </c>
      <c r="G208" s="4" t="s">
        <v>62</v>
      </c>
      <c r="H208" s="4">
        <v>7.0000000000000007E-2</v>
      </c>
      <c r="I208" s="4" t="s">
        <v>63</v>
      </c>
      <c r="J208" s="4" t="s">
        <v>1</v>
      </c>
      <c r="K208" s="4">
        <v>9.52</v>
      </c>
      <c r="L208" s="7">
        <f t="shared" si="12"/>
        <v>7.352941176470589E-3</v>
      </c>
      <c r="M208" s="9">
        <v>-1.1261261261261261E-3</v>
      </c>
      <c r="N208" s="5">
        <f t="shared" si="15"/>
        <v>0</v>
      </c>
      <c r="O208" s="3">
        <f t="shared" si="13"/>
        <v>7.352941176470589E-3</v>
      </c>
      <c r="P208" s="8">
        <v>31</v>
      </c>
      <c r="Q208" s="7">
        <f t="shared" si="14"/>
        <v>2.3719165085388997E-4</v>
      </c>
    </row>
    <row r="209" spans="1:17" x14ac:dyDescent="0.35">
      <c r="A209" s="4" t="s">
        <v>36</v>
      </c>
      <c r="B209" s="4" t="s">
        <v>34</v>
      </c>
      <c r="C209" s="4" t="s">
        <v>20</v>
      </c>
      <c r="D209" s="4">
        <v>20</v>
      </c>
      <c r="E209" s="4" t="s">
        <v>9</v>
      </c>
      <c r="F209" s="4" t="s">
        <v>114</v>
      </c>
      <c r="G209" s="4" t="s">
        <v>21</v>
      </c>
      <c r="H209" s="4">
        <v>17.920000000000002</v>
      </c>
      <c r="I209" s="4" t="s">
        <v>22</v>
      </c>
      <c r="J209" s="4" t="s">
        <v>1</v>
      </c>
      <c r="K209" s="4">
        <v>8</v>
      </c>
      <c r="L209" s="7">
        <f t="shared" si="12"/>
        <v>2.2400000000000002</v>
      </c>
      <c r="M209" s="9">
        <v>0.5743944636678201</v>
      </c>
      <c r="N209" s="5">
        <f t="shared" si="15"/>
        <v>0.5743944636678201</v>
      </c>
      <c r="O209" s="3">
        <f t="shared" si="13"/>
        <v>1.6656055363321802</v>
      </c>
      <c r="P209" s="8">
        <v>12</v>
      </c>
      <c r="Q209" s="7">
        <f t="shared" si="14"/>
        <v>0.13880046136101501</v>
      </c>
    </row>
    <row r="210" spans="1:17" x14ac:dyDescent="0.35">
      <c r="A210" s="4" t="s">
        <v>36</v>
      </c>
      <c r="B210" s="4" t="s">
        <v>34</v>
      </c>
      <c r="C210" s="4" t="s">
        <v>20</v>
      </c>
      <c r="D210" s="4">
        <v>20</v>
      </c>
      <c r="E210" s="4" t="s">
        <v>9</v>
      </c>
      <c r="F210" s="4" t="s">
        <v>114</v>
      </c>
      <c r="G210" s="4" t="s">
        <v>0</v>
      </c>
      <c r="H210" s="4">
        <v>2</v>
      </c>
      <c r="I210" s="4" t="s">
        <v>61</v>
      </c>
      <c r="J210" s="4" t="s">
        <v>1</v>
      </c>
      <c r="K210" s="4">
        <v>8</v>
      </c>
      <c r="L210" s="7">
        <f t="shared" si="12"/>
        <v>0.25</v>
      </c>
      <c r="M210" s="9">
        <v>-9.22722029988466E-2</v>
      </c>
      <c r="N210" s="5">
        <f t="shared" si="15"/>
        <v>0</v>
      </c>
      <c r="O210" s="3">
        <f t="shared" si="13"/>
        <v>0.25</v>
      </c>
      <c r="P210" s="8">
        <v>14</v>
      </c>
      <c r="Q210" s="7">
        <f t="shared" si="14"/>
        <v>1.7857142857142856E-2</v>
      </c>
    </row>
    <row r="211" spans="1:17" x14ac:dyDescent="0.35">
      <c r="A211" s="4" t="s">
        <v>36</v>
      </c>
      <c r="B211" s="4" t="s">
        <v>34</v>
      </c>
      <c r="C211" s="4" t="s">
        <v>20</v>
      </c>
      <c r="D211" s="4">
        <v>20</v>
      </c>
      <c r="E211" s="4" t="s">
        <v>9</v>
      </c>
      <c r="F211" s="4" t="s">
        <v>114</v>
      </c>
      <c r="G211" s="4" t="s">
        <v>62</v>
      </c>
      <c r="H211" s="4">
        <v>0.37</v>
      </c>
      <c r="I211" s="4" t="s">
        <v>63</v>
      </c>
      <c r="J211" s="4" t="s">
        <v>1</v>
      </c>
      <c r="K211" s="4">
        <v>8</v>
      </c>
      <c r="L211" s="7">
        <f t="shared" si="12"/>
        <v>4.6249999999999999E-2</v>
      </c>
      <c r="M211" s="9">
        <v>-3.4602076124567475E-3</v>
      </c>
      <c r="N211" s="5">
        <f t="shared" si="15"/>
        <v>0</v>
      </c>
      <c r="O211" s="3">
        <f t="shared" si="13"/>
        <v>4.6249999999999999E-2</v>
      </c>
      <c r="P211" s="8">
        <v>31</v>
      </c>
      <c r="Q211" s="7">
        <f t="shared" si="14"/>
        <v>1.4919354838709678E-3</v>
      </c>
    </row>
    <row r="212" spans="1:17" x14ac:dyDescent="0.35">
      <c r="A212" s="4" t="s">
        <v>36</v>
      </c>
      <c r="B212" s="4" t="s">
        <v>34</v>
      </c>
      <c r="C212" s="4" t="s">
        <v>20</v>
      </c>
      <c r="D212" s="4">
        <v>20</v>
      </c>
      <c r="E212" s="4" t="s">
        <v>9</v>
      </c>
      <c r="F212" s="4" t="s">
        <v>114</v>
      </c>
      <c r="G212" s="4" t="s">
        <v>21</v>
      </c>
      <c r="H212" s="4">
        <v>17.57</v>
      </c>
      <c r="I212" s="4" t="s">
        <v>22</v>
      </c>
      <c r="J212" s="4" t="s">
        <v>1</v>
      </c>
      <c r="K212" s="4">
        <v>8.3800000000000008</v>
      </c>
      <c r="L212" s="7">
        <f t="shared" si="12"/>
        <v>2.0966587112171835</v>
      </c>
      <c r="M212" s="9">
        <v>0.5743944636678201</v>
      </c>
      <c r="N212" s="5">
        <f t="shared" si="15"/>
        <v>0.5743944636678201</v>
      </c>
      <c r="O212" s="3">
        <f t="shared" si="13"/>
        <v>1.5222642475493635</v>
      </c>
      <c r="P212" s="8">
        <v>12</v>
      </c>
      <c r="Q212" s="7">
        <f t="shared" si="14"/>
        <v>0.12685535396244696</v>
      </c>
    </row>
    <row r="213" spans="1:17" x14ac:dyDescent="0.35">
      <c r="A213" s="4" t="s">
        <v>36</v>
      </c>
      <c r="B213" s="4" t="s">
        <v>34</v>
      </c>
      <c r="C213" s="4" t="s">
        <v>20</v>
      </c>
      <c r="D213" s="4">
        <v>20</v>
      </c>
      <c r="E213" s="4" t="s">
        <v>9</v>
      </c>
      <c r="F213" s="4" t="s">
        <v>114</v>
      </c>
      <c r="G213" s="4" t="s">
        <v>0</v>
      </c>
      <c r="H213" s="4">
        <v>1.79</v>
      </c>
      <c r="I213" s="4" t="s">
        <v>61</v>
      </c>
      <c r="J213" s="4" t="s">
        <v>1</v>
      </c>
      <c r="K213" s="4">
        <v>8.3800000000000008</v>
      </c>
      <c r="L213" s="7">
        <f t="shared" si="12"/>
        <v>0.21360381861575178</v>
      </c>
      <c r="M213" s="9">
        <v>-9.22722029988466E-2</v>
      </c>
      <c r="N213" s="5">
        <f t="shared" si="15"/>
        <v>0</v>
      </c>
      <c r="O213" s="3">
        <f t="shared" si="13"/>
        <v>0.21360381861575178</v>
      </c>
      <c r="P213" s="8">
        <v>14</v>
      </c>
      <c r="Q213" s="7">
        <f t="shared" si="14"/>
        <v>1.5257415615410842E-2</v>
      </c>
    </row>
    <row r="214" spans="1:17" x14ac:dyDescent="0.35">
      <c r="A214" s="4" t="s">
        <v>36</v>
      </c>
      <c r="B214" s="4" t="s">
        <v>34</v>
      </c>
      <c r="C214" s="4" t="s">
        <v>20</v>
      </c>
      <c r="D214" s="4">
        <v>20</v>
      </c>
      <c r="E214" s="4" t="s">
        <v>9</v>
      </c>
      <c r="F214" s="4" t="s">
        <v>114</v>
      </c>
      <c r="G214" s="4" t="s">
        <v>62</v>
      </c>
      <c r="H214" s="4">
        <v>0.12</v>
      </c>
      <c r="I214" s="4" t="s">
        <v>63</v>
      </c>
      <c r="J214" s="4" t="s">
        <v>1</v>
      </c>
      <c r="K214" s="4">
        <v>8.3800000000000008</v>
      </c>
      <c r="L214" s="7">
        <f t="shared" si="12"/>
        <v>1.4319809069212409E-2</v>
      </c>
      <c r="M214" s="9">
        <v>-3.4602076124567475E-3</v>
      </c>
      <c r="N214" s="5">
        <f t="shared" si="15"/>
        <v>0</v>
      </c>
      <c r="O214" s="3">
        <f t="shared" si="13"/>
        <v>1.4319809069212409E-2</v>
      </c>
      <c r="P214" s="8">
        <v>31</v>
      </c>
      <c r="Q214" s="7">
        <f t="shared" si="14"/>
        <v>4.6192932481330351E-4</v>
      </c>
    </row>
    <row r="215" spans="1:17" x14ac:dyDescent="0.35">
      <c r="A215" s="4" t="s">
        <v>37</v>
      </c>
      <c r="B215" s="4" t="s">
        <v>34</v>
      </c>
      <c r="C215" s="4" t="s">
        <v>20</v>
      </c>
      <c r="D215" s="4">
        <v>20</v>
      </c>
      <c r="E215" s="4" t="s">
        <v>9</v>
      </c>
      <c r="F215" s="4" t="s">
        <v>114</v>
      </c>
      <c r="G215" s="4" t="s">
        <v>21</v>
      </c>
      <c r="H215" s="4">
        <v>7.05</v>
      </c>
      <c r="I215" s="4" t="s">
        <v>22</v>
      </c>
      <c r="J215" s="4" t="s">
        <v>1</v>
      </c>
      <c r="K215" s="4">
        <v>7.29</v>
      </c>
      <c r="L215" s="7">
        <f t="shared" si="12"/>
        <v>0.96707818930041145</v>
      </c>
      <c r="M215" s="9">
        <v>0.59394703656998737</v>
      </c>
      <c r="N215" s="5">
        <f t="shared" si="15"/>
        <v>0.59394703656998737</v>
      </c>
      <c r="O215" s="3">
        <f t="shared" si="13"/>
        <v>0.37313115273042408</v>
      </c>
      <c r="P215" s="8">
        <v>12</v>
      </c>
      <c r="Q215" s="7">
        <f t="shared" si="14"/>
        <v>3.1094262727535339E-2</v>
      </c>
    </row>
    <row r="216" spans="1:17" x14ac:dyDescent="0.35">
      <c r="A216" s="4" t="s">
        <v>37</v>
      </c>
      <c r="B216" s="4" t="s">
        <v>34</v>
      </c>
      <c r="C216" s="4" t="s">
        <v>20</v>
      </c>
      <c r="D216" s="4">
        <v>20</v>
      </c>
      <c r="E216" s="4" t="s">
        <v>9</v>
      </c>
      <c r="F216" s="4" t="s">
        <v>114</v>
      </c>
      <c r="G216" s="4" t="s">
        <v>0</v>
      </c>
      <c r="H216" s="4">
        <v>-0.01</v>
      </c>
      <c r="I216" s="4" t="s">
        <v>61</v>
      </c>
      <c r="J216" s="4" t="s">
        <v>1</v>
      </c>
      <c r="K216" s="4">
        <v>7.29</v>
      </c>
      <c r="L216" s="7">
        <f t="shared" si="12"/>
        <v>-1.3717421124828533E-3</v>
      </c>
      <c r="M216" s="9">
        <v>-7.9445145018915517E-2</v>
      </c>
      <c r="N216" s="5">
        <f t="shared" si="15"/>
        <v>0</v>
      </c>
      <c r="O216" s="3">
        <f t="shared" si="13"/>
        <v>-1.3717421124828533E-3</v>
      </c>
      <c r="P216" s="8">
        <v>14</v>
      </c>
      <c r="Q216" s="7">
        <f t="shared" si="14"/>
        <v>-9.7981579463060959E-5</v>
      </c>
    </row>
    <row r="217" spans="1:17" x14ac:dyDescent="0.35">
      <c r="A217" s="4" t="s">
        <v>37</v>
      </c>
      <c r="B217" s="4" t="s">
        <v>34</v>
      </c>
      <c r="C217" s="4" t="s">
        <v>20</v>
      </c>
      <c r="D217" s="4">
        <v>20</v>
      </c>
      <c r="E217" s="4" t="s">
        <v>9</v>
      </c>
      <c r="F217" s="4" t="s">
        <v>114</v>
      </c>
      <c r="G217" s="4" t="s">
        <v>62</v>
      </c>
      <c r="H217" s="4">
        <v>0.13</v>
      </c>
      <c r="I217" s="4" t="s">
        <v>63</v>
      </c>
      <c r="J217" s="4" t="s">
        <v>1</v>
      </c>
      <c r="K217" s="4">
        <v>7.29</v>
      </c>
      <c r="L217" s="7">
        <f t="shared" si="12"/>
        <v>1.7832647462277092E-2</v>
      </c>
      <c r="M217" s="9">
        <v>-1.7654476670870115E-2</v>
      </c>
      <c r="N217" s="5">
        <f t="shared" si="15"/>
        <v>0</v>
      </c>
      <c r="O217" s="3">
        <f t="shared" si="13"/>
        <v>1.7832647462277092E-2</v>
      </c>
      <c r="P217" s="8">
        <v>31</v>
      </c>
      <c r="Q217" s="7">
        <f t="shared" si="14"/>
        <v>5.7524669233151911E-4</v>
      </c>
    </row>
    <row r="218" spans="1:17" x14ac:dyDescent="0.35">
      <c r="A218" s="4" t="s">
        <v>37</v>
      </c>
      <c r="B218" s="4" t="s">
        <v>34</v>
      </c>
      <c r="C218" s="4" t="s">
        <v>20</v>
      </c>
      <c r="D218" s="4">
        <v>20</v>
      </c>
      <c r="E218" s="4" t="s">
        <v>9</v>
      </c>
      <c r="F218" s="4" t="s">
        <v>114</v>
      </c>
      <c r="G218" s="4" t="s">
        <v>21</v>
      </c>
      <c r="H218" s="4">
        <v>10.86</v>
      </c>
      <c r="I218" s="4" t="s">
        <v>22</v>
      </c>
      <c r="J218" s="4" t="s">
        <v>1</v>
      </c>
      <c r="K218" s="4">
        <v>9.64</v>
      </c>
      <c r="L218" s="7">
        <f t="shared" si="12"/>
        <v>1.1265560165975101</v>
      </c>
      <c r="M218" s="9">
        <v>0.59394703656998737</v>
      </c>
      <c r="N218" s="5">
        <f t="shared" si="15"/>
        <v>0.59394703656998737</v>
      </c>
      <c r="O218" s="3">
        <f t="shared" si="13"/>
        <v>0.53260898002752277</v>
      </c>
      <c r="P218" s="8">
        <v>12</v>
      </c>
      <c r="Q218" s="7">
        <f t="shared" si="14"/>
        <v>4.4384081668960233E-2</v>
      </c>
    </row>
    <row r="219" spans="1:17" x14ac:dyDescent="0.35">
      <c r="A219" s="4" t="s">
        <v>37</v>
      </c>
      <c r="B219" s="4" t="s">
        <v>34</v>
      </c>
      <c r="C219" s="4" t="s">
        <v>20</v>
      </c>
      <c r="D219" s="4">
        <v>20</v>
      </c>
      <c r="E219" s="4" t="s">
        <v>9</v>
      </c>
      <c r="F219" s="4" t="s">
        <v>114</v>
      </c>
      <c r="G219" s="4" t="s">
        <v>0</v>
      </c>
      <c r="H219" s="4">
        <v>0.57999999999999996</v>
      </c>
      <c r="I219" s="4" t="s">
        <v>61</v>
      </c>
      <c r="J219" s="4" t="s">
        <v>1</v>
      </c>
      <c r="K219" s="4">
        <v>9.64</v>
      </c>
      <c r="L219" s="7">
        <f t="shared" si="12"/>
        <v>6.0165975103734434E-2</v>
      </c>
      <c r="M219" s="9">
        <v>-7.9445145018915517E-2</v>
      </c>
      <c r="N219" s="5">
        <f t="shared" si="15"/>
        <v>0</v>
      </c>
      <c r="O219" s="3">
        <f t="shared" si="13"/>
        <v>6.0165975103734434E-2</v>
      </c>
      <c r="P219" s="8">
        <v>14</v>
      </c>
      <c r="Q219" s="7">
        <f t="shared" si="14"/>
        <v>4.2975696502667452E-3</v>
      </c>
    </row>
    <row r="220" spans="1:17" x14ac:dyDescent="0.35">
      <c r="A220" s="4" t="s">
        <v>37</v>
      </c>
      <c r="B220" s="4" t="s">
        <v>34</v>
      </c>
      <c r="C220" s="4" t="s">
        <v>20</v>
      </c>
      <c r="D220" s="4">
        <v>20</v>
      </c>
      <c r="E220" s="4" t="s">
        <v>9</v>
      </c>
      <c r="F220" s="4" t="s">
        <v>114</v>
      </c>
      <c r="G220" s="4" t="s">
        <v>62</v>
      </c>
      <c r="H220" s="4">
        <v>0.01</v>
      </c>
      <c r="I220" s="4" t="s">
        <v>63</v>
      </c>
      <c r="J220" s="4" t="s">
        <v>1</v>
      </c>
      <c r="K220" s="4">
        <v>9.64</v>
      </c>
      <c r="L220" s="7">
        <f t="shared" si="12"/>
        <v>1.037344398340249E-3</v>
      </c>
      <c r="M220" s="9">
        <v>-1.7654476670870115E-2</v>
      </c>
      <c r="N220" s="5">
        <f t="shared" si="15"/>
        <v>0</v>
      </c>
      <c r="O220" s="3">
        <f t="shared" si="13"/>
        <v>1.037344398340249E-3</v>
      </c>
      <c r="P220" s="8">
        <v>31</v>
      </c>
      <c r="Q220" s="7">
        <f t="shared" si="14"/>
        <v>3.3462722527104802E-5</v>
      </c>
    </row>
    <row r="221" spans="1:17" x14ac:dyDescent="0.35">
      <c r="A221" s="4" t="s">
        <v>51</v>
      </c>
      <c r="B221" s="4" t="s">
        <v>34</v>
      </c>
      <c r="C221" s="4" t="s">
        <v>20</v>
      </c>
      <c r="D221" s="4">
        <v>20</v>
      </c>
      <c r="E221" s="4" t="s">
        <v>9</v>
      </c>
      <c r="F221" s="4" t="s">
        <v>145</v>
      </c>
      <c r="G221" s="4" t="s">
        <v>21</v>
      </c>
      <c r="H221" s="4">
        <v>15.49</v>
      </c>
      <c r="I221" s="4" t="s">
        <v>22</v>
      </c>
      <c r="J221" s="4" t="s">
        <v>1</v>
      </c>
      <c r="K221" s="4">
        <v>10.09</v>
      </c>
      <c r="L221" s="7">
        <f t="shared" si="12"/>
        <v>1.5351833498513381</v>
      </c>
      <c r="M221" s="9">
        <v>0.33133253301320525</v>
      </c>
      <c r="N221" s="5">
        <f t="shared" si="15"/>
        <v>0.33133253301320525</v>
      </c>
      <c r="O221" s="3">
        <f t="shared" si="13"/>
        <v>1.2038508168381328</v>
      </c>
      <c r="P221" s="8">
        <v>12</v>
      </c>
      <c r="Q221" s="7">
        <f t="shared" si="14"/>
        <v>0.10032090140317773</v>
      </c>
    </row>
    <row r="222" spans="1:17" x14ac:dyDescent="0.35">
      <c r="A222" s="4" t="s">
        <v>51</v>
      </c>
      <c r="B222" s="4" t="s">
        <v>34</v>
      </c>
      <c r="C222" s="4" t="s">
        <v>20</v>
      </c>
      <c r="D222" s="4">
        <v>20</v>
      </c>
      <c r="E222" s="4" t="s">
        <v>9</v>
      </c>
      <c r="F222" s="4" t="s">
        <v>145</v>
      </c>
      <c r="G222" s="4" t="s">
        <v>0</v>
      </c>
      <c r="H222" s="4">
        <v>1.91</v>
      </c>
      <c r="I222" s="4" t="s">
        <v>61</v>
      </c>
      <c r="J222" s="4" t="s">
        <v>1</v>
      </c>
      <c r="K222" s="4">
        <v>10.09</v>
      </c>
      <c r="L222" s="7">
        <f t="shared" si="12"/>
        <v>0.18929633300297324</v>
      </c>
      <c r="M222" s="9">
        <v>-0.12725090036014405</v>
      </c>
      <c r="N222" s="5">
        <f t="shared" si="15"/>
        <v>0</v>
      </c>
      <c r="O222" s="3">
        <f t="shared" si="13"/>
        <v>0.18929633300297324</v>
      </c>
      <c r="P222" s="8">
        <v>14</v>
      </c>
      <c r="Q222" s="7">
        <f t="shared" si="14"/>
        <v>1.3521166643069517E-2</v>
      </c>
    </row>
    <row r="223" spans="1:17" x14ac:dyDescent="0.35">
      <c r="A223" s="4" t="s">
        <v>51</v>
      </c>
      <c r="B223" s="4" t="s">
        <v>34</v>
      </c>
      <c r="C223" s="4" t="s">
        <v>20</v>
      </c>
      <c r="D223" s="4">
        <v>20</v>
      </c>
      <c r="E223" s="4" t="s">
        <v>9</v>
      </c>
      <c r="F223" s="4" t="s">
        <v>145</v>
      </c>
      <c r="G223" s="4" t="s">
        <v>62</v>
      </c>
      <c r="H223" s="4">
        <v>0.08</v>
      </c>
      <c r="I223" s="4" t="s">
        <v>63</v>
      </c>
      <c r="J223" s="4" t="s">
        <v>1</v>
      </c>
      <c r="K223" s="4">
        <v>10.09</v>
      </c>
      <c r="L223" s="7">
        <f t="shared" si="12"/>
        <v>7.9286422200198214E-3</v>
      </c>
      <c r="M223" s="9">
        <v>3.6014405762304922E-3</v>
      </c>
      <c r="N223" s="5">
        <f t="shared" si="15"/>
        <v>3.6014405762304922E-3</v>
      </c>
      <c r="O223" s="3">
        <f t="shared" si="13"/>
        <v>4.3272016437893293E-3</v>
      </c>
      <c r="P223" s="8">
        <v>31</v>
      </c>
      <c r="Q223" s="7">
        <f t="shared" si="14"/>
        <v>1.3958714979965577E-4</v>
      </c>
    </row>
    <row r="224" spans="1:17" x14ac:dyDescent="0.35">
      <c r="A224" s="4" t="s">
        <v>51</v>
      </c>
      <c r="B224" s="4" t="s">
        <v>34</v>
      </c>
      <c r="C224" s="4" t="s">
        <v>20</v>
      </c>
      <c r="D224" s="4">
        <v>20</v>
      </c>
      <c r="E224" s="4" t="s">
        <v>9</v>
      </c>
      <c r="F224" s="4" t="s">
        <v>145</v>
      </c>
      <c r="G224" s="4" t="s">
        <v>21</v>
      </c>
      <c r="H224" s="4">
        <v>13.5</v>
      </c>
      <c r="I224" s="4" t="s">
        <v>22</v>
      </c>
      <c r="J224" s="4" t="s">
        <v>1</v>
      </c>
      <c r="K224" s="4">
        <v>8.94</v>
      </c>
      <c r="L224" s="7">
        <f t="shared" si="12"/>
        <v>1.5100671140939599</v>
      </c>
      <c r="M224" s="9">
        <v>0.33133253301320525</v>
      </c>
      <c r="N224" s="5">
        <f t="shared" si="15"/>
        <v>0.33133253301320525</v>
      </c>
      <c r="O224" s="3">
        <f t="shared" si="13"/>
        <v>1.1787345810807546</v>
      </c>
      <c r="P224" s="8">
        <v>12</v>
      </c>
      <c r="Q224" s="7">
        <f t="shared" si="14"/>
        <v>9.8227881756729543E-2</v>
      </c>
    </row>
    <row r="225" spans="1:17" x14ac:dyDescent="0.35">
      <c r="A225" s="4" t="s">
        <v>51</v>
      </c>
      <c r="B225" s="4" t="s">
        <v>34</v>
      </c>
      <c r="C225" s="4" t="s">
        <v>20</v>
      </c>
      <c r="D225" s="4">
        <v>20</v>
      </c>
      <c r="E225" s="4" t="s">
        <v>9</v>
      </c>
      <c r="F225" s="4" t="s">
        <v>145</v>
      </c>
      <c r="G225" s="4" t="s">
        <v>0</v>
      </c>
      <c r="H225" s="4">
        <v>0.44</v>
      </c>
      <c r="I225" s="4" t="s">
        <v>61</v>
      </c>
      <c r="J225" s="4" t="s">
        <v>1</v>
      </c>
      <c r="K225" s="4">
        <v>8.94</v>
      </c>
      <c r="L225" s="7">
        <f t="shared" si="12"/>
        <v>4.9217002237136466E-2</v>
      </c>
      <c r="M225" s="9">
        <v>-0.12725090036014405</v>
      </c>
      <c r="N225" s="5">
        <f t="shared" si="15"/>
        <v>0</v>
      </c>
      <c r="O225" s="3">
        <f t="shared" si="13"/>
        <v>4.9217002237136466E-2</v>
      </c>
      <c r="P225" s="8">
        <v>14</v>
      </c>
      <c r="Q225" s="7">
        <f t="shared" si="14"/>
        <v>3.515500159795462E-3</v>
      </c>
    </row>
    <row r="226" spans="1:17" x14ac:dyDescent="0.35">
      <c r="A226" s="4" t="s">
        <v>51</v>
      </c>
      <c r="B226" s="4" t="s">
        <v>34</v>
      </c>
      <c r="C226" s="4" t="s">
        <v>20</v>
      </c>
      <c r="D226" s="4">
        <v>20</v>
      </c>
      <c r="E226" s="4" t="s">
        <v>9</v>
      </c>
      <c r="F226" s="4" t="s">
        <v>145</v>
      </c>
      <c r="G226" s="4" t="s">
        <v>62</v>
      </c>
      <c r="H226" s="4">
        <v>0.01</v>
      </c>
      <c r="I226" s="4" t="s">
        <v>63</v>
      </c>
      <c r="J226" s="4" t="s">
        <v>1</v>
      </c>
      <c r="K226" s="4">
        <v>8.94</v>
      </c>
      <c r="L226" s="7">
        <f t="shared" si="12"/>
        <v>1.1185682326621926E-3</v>
      </c>
      <c r="M226" s="9">
        <v>3.6014405762304922E-3</v>
      </c>
      <c r="N226" s="5">
        <f t="shared" si="15"/>
        <v>3.6014405762304922E-3</v>
      </c>
      <c r="O226" s="3">
        <f t="shared" si="13"/>
        <v>-2.4828723435682994E-3</v>
      </c>
      <c r="P226" s="8">
        <v>31</v>
      </c>
      <c r="Q226" s="7">
        <f t="shared" si="14"/>
        <v>-8.0092656244138693E-5</v>
      </c>
    </row>
    <row r="227" spans="1:17" x14ac:dyDescent="0.35">
      <c r="A227" s="4" t="s">
        <v>52</v>
      </c>
      <c r="B227" s="4" t="s">
        <v>34</v>
      </c>
      <c r="C227" s="4" t="s">
        <v>20</v>
      </c>
      <c r="D227" s="4">
        <v>20</v>
      </c>
      <c r="E227" s="4" t="s">
        <v>9</v>
      </c>
      <c r="F227" s="4" t="s">
        <v>145</v>
      </c>
      <c r="G227" s="4" t="s">
        <v>21</v>
      </c>
      <c r="H227" s="4">
        <v>9.09</v>
      </c>
      <c r="I227" s="4" t="s">
        <v>22</v>
      </c>
      <c r="J227" s="4" t="s">
        <v>1</v>
      </c>
      <c r="K227" s="4">
        <v>8.7100000000000009</v>
      </c>
      <c r="L227" s="7">
        <f t="shared" si="12"/>
        <v>1.0436280137772673</v>
      </c>
      <c r="M227" s="9">
        <v>0.3928571428571429</v>
      </c>
      <c r="N227" s="5">
        <f t="shared" si="15"/>
        <v>0.3928571428571429</v>
      </c>
      <c r="O227" s="3">
        <f t="shared" si="13"/>
        <v>0.65077087092012442</v>
      </c>
      <c r="P227" s="8">
        <v>12</v>
      </c>
      <c r="Q227" s="7">
        <f t="shared" si="14"/>
        <v>5.4230905910010369E-2</v>
      </c>
    </row>
    <row r="228" spans="1:17" x14ac:dyDescent="0.35">
      <c r="A228" s="4" t="s">
        <v>52</v>
      </c>
      <c r="B228" s="4" t="s">
        <v>34</v>
      </c>
      <c r="C228" s="4" t="s">
        <v>20</v>
      </c>
      <c r="D228" s="4">
        <v>20</v>
      </c>
      <c r="E228" s="4" t="s">
        <v>9</v>
      </c>
      <c r="F228" s="4" t="s">
        <v>145</v>
      </c>
      <c r="G228" s="4" t="s">
        <v>0</v>
      </c>
      <c r="H228" s="4">
        <v>1.03</v>
      </c>
      <c r="I228" s="4" t="s">
        <v>61</v>
      </c>
      <c r="J228" s="4" t="s">
        <v>1</v>
      </c>
      <c r="K228" s="4">
        <v>8.7100000000000009</v>
      </c>
      <c r="L228" s="7">
        <f t="shared" si="12"/>
        <v>0.11825487944890929</v>
      </c>
      <c r="M228" s="9">
        <v>-6.6176470588235295E-2</v>
      </c>
      <c r="N228" s="5">
        <f t="shared" si="15"/>
        <v>0</v>
      </c>
      <c r="O228" s="3">
        <f t="shared" si="13"/>
        <v>0.11825487944890929</v>
      </c>
      <c r="P228" s="8">
        <v>14</v>
      </c>
      <c r="Q228" s="7">
        <f t="shared" si="14"/>
        <v>8.4467771034935201E-3</v>
      </c>
    </row>
    <row r="229" spans="1:17" x14ac:dyDescent="0.35">
      <c r="A229" s="4" t="s">
        <v>52</v>
      </c>
      <c r="B229" s="4" t="s">
        <v>34</v>
      </c>
      <c r="C229" s="4" t="s">
        <v>20</v>
      </c>
      <c r="D229" s="4">
        <v>20</v>
      </c>
      <c r="E229" s="4" t="s">
        <v>9</v>
      </c>
      <c r="F229" s="4" t="s">
        <v>145</v>
      </c>
      <c r="G229" s="4" t="s">
        <v>62</v>
      </c>
      <c r="H229" s="4">
        <v>0.13</v>
      </c>
      <c r="I229" s="4" t="s">
        <v>63</v>
      </c>
      <c r="J229" s="4" t="s">
        <v>1</v>
      </c>
      <c r="K229" s="4">
        <v>8.7100000000000009</v>
      </c>
      <c r="L229" s="7">
        <f t="shared" si="12"/>
        <v>1.4925373134328358E-2</v>
      </c>
      <c r="M229" s="9">
        <v>-5.2521008403361349E-3</v>
      </c>
      <c r="N229" s="5">
        <f t="shared" si="15"/>
        <v>0</v>
      </c>
      <c r="O229" s="3">
        <f t="shared" si="13"/>
        <v>1.4925373134328358E-2</v>
      </c>
      <c r="P229" s="8">
        <v>31</v>
      </c>
      <c r="Q229" s="7">
        <f t="shared" si="14"/>
        <v>4.8146364949446316E-4</v>
      </c>
    </row>
    <row r="230" spans="1:17" x14ac:dyDescent="0.35">
      <c r="A230" s="4" t="s">
        <v>52</v>
      </c>
      <c r="B230" s="4" t="s">
        <v>34</v>
      </c>
      <c r="C230" s="4" t="s">
        <v>20</v>
      </c>
      <c r="D230" s="4">
        <v>20</v>
      </c>
      <c r="E230" s="4" t="s">
        <v>9</v>
      </c>
      <c r="F230" s="4" t="s">
        <v>145</v>
      </c>
      <c r="G230" s="4" t="s">
        <v>21</v>
      </c>
      <c r="H230" s="4">
        <v>9.9499999999999993</v>
      </c>
      <c r="I230" s="4" t="s">
        <v>22</v>
      </c>
      <c r="J230" s="4" t="s">
        <v>1</v>
      </c>
      <c r="K230" s="4">
        <v>8.75</v>
      </c>
      <c r="L230" s="7">
        <f t="shared" si="12"/>
        <v>1.137142857142857</v>
      </c>
      <c r="M230" s="9">
        <v>0.3928571428571429</v>
      </c>
      <c r="N230" s="5">
        <f t="shared" si="15"/>
        <v>0.3928571428571429</v>
      </c>
      <c r="O230" s="3">
        <f t="shared" si="13"/>
        <v>0.74428571428571411</v>
      </c>
      <c r="P230" s="8">
        <v>12</v>
      </c>
      <c r="Q230" s="7">
        <f t="shared" si="14"/>
        <v>6.2023809523809509E-2</v>
      </c>
    </row>
    <row r="231" spans="1:17" x14ac:dyDescent="0.35">
      <c r="A231" s="4" t="s">
        <v>52</v>
      </c>
      <c r="B231" s="4" t="s">
        <v>34</v>
      </c>
      <c r="C231" s="4" t="s">
        <v>20</v>
      </c>
      <c r="D231" s="4">
        <v>20</v>
      </c>
      <c r="E231" s="4" t="s">
        <v>9</v>
      </c>
      <c r="F231" s="4" t="s">
        <v>145</v>
      </c>
      <c r="G231" s="4" t="s">
        <v>0</v>
      </c>
      <c r="H231" s="4">
        <v>0.35</v>
      </c>
      <c r="I231" s="4" t="s">
        <v>61</v>
      </c>
      <c r="J231" s="4" t="s">
        <v>1</v>
      </c>
      <c r="K231" s="4">
        <v>8.75</v>
      </c>
      <c r="L231" s="7">
        <f t="shared" si="12"/>
        <v>0.04</v>
      </c>
      <c r="M231" s="9">
        <v>-6.6176470588235295E-2</v>
      </c>
      <c r="N231" s="5">
        <f t="shared" si="15"/>
        <v>0</v>
      </c>
      <c r="O231" s="3">
        <f t="shared" si="13"/>
        <v>0.04</v>
      </c>
      <c r="P231" s="8">
        <v>14</v>
      </c>
      <c r="Q231" s="7">
        <f t="shared" si="14"/>
        <v>2.8571428571428571E-3</v>
      </c>
    </row>
    <row r="232" spans="1:17" x14ac:dyDescent="0.35">
      <c r="A232" s="4" t="s">
        <v>52</v>
      </c>
      <c r="B232" s="4" t="s">
        <v>34</v>
      </c>
      <c r="C232" s="4" t="s">
        <v>20</v>
      </c>
      <c r="D232" s="4">
        <v>20</v>
      </c>
      <c r="E232" s="4" t="s">
        <v>9</v>
      </c>
      <c r="F232" s="4" t="s">
        <v>145</v>
      </c>
      <c r="G232" s="4" t="s">
        <v>62</v>
      </c>
      <c r="H232" s="4">
        <v>0.06</v>
      </c>
      <c r="I232" s="4" t="s">
        <v>63</v>
      </c>
      <c r="J232" s="4" t="s">
        <v>1</v>
      </c>
      <c r="K232" s="4">
        <v>8.75</v>
      </c>
      <c r="L232" s="7">
        <f t="shared" si="12"/>
        <v>6.8571428571428568E-3</v>
      </c>
      <c r="M232" s="9">
        <v>-5.2521008403361349E-3</v>
      </c>
      <c r="N232" s="5">
        <f t="shared" si="15"/>
        <v>0</v>
      </c>
      <c r="O232" s="3">
        <f t="shared" si="13"/>
        <v>6.8571428571428568E-3</v>
      </c>
      <c r="P232" s="8">
        <v>31</v>
      </c>
      <c r="Q232" s="7">
        <f t="shared" si="14"/>
        <v>2.2119815668202763E-4</v>
      </c>
    </row>
    <row r="233" spans="1:17" x14ac:dyDescent="0.35">
      <c r="A233" s="4" t="s">
        <v>54</v>
      </c>
      <c r="B233" s="4" t="s">
        <v>34</v>
      </c>
      <c r="C233" s="4" t="s">
        <v>20</v>
      </c>
      <c r="D233" s="4">
        <v>20</v>
      </c>
      <c r="E233" s="4" t="s">
        <v>9</v>
      </c>
      <c r="F233" s="4" t="s">
        <v>115</v>
      </c>
      <c r="G233" s="4" t="s">
        <v>21</v>
      </c>
      <c r="H233" s="4">
        <v>14.11</v>
      </c>
      <c r="I233" s="4" t="s">
        <v>22</v>
      </c>
      <c r="J233" s="4" t="s">
        <v>1</v>
      </c>
      <c r="K233" s="4">
        <v>9.2200000000000006</v>
      </c>
      <c r="L233" s="7">
        <f t="shared" si="12"/>
        <v>1.5303687635574836</v>
      </c>
      <c r="M233" s="9">
        <v>0.19340974212034384</v>
      </c>
      <c r="N233" s="5">
        <f t="shared" si="15"/>
        <v>0.19340974212034384</v>
      </c>
      <c r="O233" s="3">
        <f t="shared" si="13"/>
        <v>1.3369590214371398</v>
      </c>
      <c r="P233" s="8">
        <v>12</v>
      </c>
      <c r="Q233" s="7">
        <f t="shared" si="14"/>
        <v>0.11141325178642832</v>
      </c>
    </row>
    <row r="234" spans="1:17" x14ac:dyDescent="0.35">
      <c r="A234" s="4" t="s">
        <v>54</v>
      </c>
      <c r="B234" s="4" t="s">
        <v>34</v>
      </c>
      <c r="C234" s="4" t="s">
        <v>20</v>
      </c>
      <c r="D234" s="4">
        <v>20</v>
      </c>
      <c r="E234" s="4" t="s">
        <v>9</v>
      </c>
      <c r="F234" s="4" t="s">
        <v>115</v>
      </c>
      <c r="G234" s="4" t="s">
        <v>0</v>
      </c>
      <c r="H234" s="4">
        <v>1.0900000000000001</v>
      </c>
      <c r="I234" s="4" t="s">
        <v>61</v>
      </c>
      <c r="J234" s="4" t="s">
        <v>1</v>
      </c>
      <c r="K234" s="4">
        <v>9.2200000000000006</v>
      </c>
      <c r="L234" s="7">
        <f t="shared" si="12"/>
        <v>0.11822125813449023</v>
      </c>
      <c r="M234" s="9">
        <v>-3.5816618911174783E-2</v>
      </c>
      <c r="N234" s="5">
        <f t="shared" si="15"/>
        <v>0</v>
      </c>
      <c r="O234" s="3">
        <f t="shared" si="13"/>
        <v>0.11822125813449023</v>
      </c>
      <c r="P234" s="8">
        <v>14</v>
      </c>
      <c r="Q234" s="7">
        <f t="shared" si="14"/>
        <v>8.4443755810350175E-3</v>
      </c>
    </row>
    <row r="235" spans="1:17" x14ac:dyDescent="0.35">
      <c r="A235" s="4" t="s">
        <v>54</v>
      </c>
      <c r="B235" s="4" t="s">
        <v>34</v>
      </c>
      <c r="C235" s="4" t="s">
        <v>20</v>
      </c>
      <c r="D235" s="4">
        <v>20</v>
      </c>
      <c r="E235" s="4" t="s">
        <v>9</v>
      </c>
      <c r="F235" s="4" t="s">
        <v>115</v>
      </c>
      <c r="G235" s="4" t="s">
        <v>62</v>
      </c>
      <c r="H235" s="4">
        <v>0.15</v>
      </c>
      <c r="I235" s="4" t="s">
        <v>63</v>
      </c>
      <c r="J235" s="4" t="s">
        <v>1</v>
      </c>
      <c r="K235" s="4">
        <v>9.2200000000000006</v>
      </c>
      <c r="L235" s="7">
        <f t="shared" si="12"/>
        <v>1.6268980477223426E-2</v>
      </c>
      <c r="M235" s="9">
        <v>-5.7306590257879654E-3</v>
      </c>
      <c r="N235" s="5">
        <f t="shared" si="15"/>
        <v>0</v>
      </c>
      <c r="O235" s="3">
        <f t="shared" si="13"/>
        <v>1.6268980477223426E-2</v>
      </c>
      <c r="P235" s="8">
        <v>31</v>
      </c>
      <c r="Q235" s="7">
        <f t="shared" si="14"/>
        <v>5.2480582184591699E-4</v>
      </c>
    </row>
    <row r="236" spans="1:17" x14ac:dyDescent="0.35">
      <c r="A236" s="4" t="s">
        <v>54</v>
      </c>
      <c r="B236" s="4" t="s">
        <v>34</v>
      </c>
      <c r="C236" s="4" t="s">
        <v>20</v>
      </c>
      <c r="D236" s="4">
        <v>20</v>
      </c>
      <c r="E236" s="4" t="s">
        <v>9</v>
      </c>
      <c r="F236" s="4" t="s">
        <v>115</v>
      </c>
      <c r="G236" s="4" t="s">
        <v>21</v>
      </c>
      <c r="H236" s="4">
        <v>18.25</v>
      </c>
      <c r="I236" s="4" t="s">
        <v>22</v>
      </c>
      <c r="J236" s="4" t="s">
        <v>1</v>
      </c>
      <c r="K236" s="4">
        <v>9.02</v>
      </c>
      <c r="L236" s="7">
        <f t="shared" si="12"/>
        <v>2.0232815964523283</v>
      </c>
      <c r="M236" s="9">
        <v>0.19340974212034384</v>
      </c>
      <c r="N236" s="5">
        <f t="shared" si="15"/>
        <v>0.19340974212034384</v>
      </c>
      <c r="O236" s="3">
        <f t="shared" si="13"/>
        <v>1.8298718543319845</v>
      </c>
      <c r="P236" s="8">
        <v>12</v>
      </c>
      <c r="Q236" s="7">
        <f t="shared" si="14"/>
        <v>0.15248932119433203</v>
      </c>
    </row>
    <row r="237" spans="1:17" x14ac:dyDescent="0.35">
      <c r="A237" s="4" t="s">
        <v>54</v>
      </c>
      <c r="B237" s="4" t="s">
        <v>34</v>
      </c>
      <c r="C237" s="4" t="s">
        <v>20</v>
      </c>
      <c r="D237" s="4">
        <v>20</v>
      </c>
      <c r="E237" s="4" t="s">
        <v>9</v>
      </c>
      <c r="F237" s="4" t="s">
        <v>115</v>
      </c>
      <c r="G237" s="4" t="s">
        <v>0</v>
      </c>
      <c r="H237" s="4">
        <v>1.38</v>
      </c>
      <c r="I237" s="4" t="s">
        <v>61</v>
      </c>
      <c r="J237" s="4" t="s">
        <v>1</v>
      </c>
      <c r="K237" s="4">
        <v>9.02</v>
      </c>
      <c r="L237" s="7">
        <f t="shared" si="12"/>
        <v>0.15299334811529933</v>
      </c>
      <c r="M237" s="9">
        <v>-3.5816618911174783E-2</v>
      </c>
      <c r="N237" s="5">
        <f t="shared" si="15"/>
        <v>0</v>
      </c>
      <c r="O237" s="3">
        <f t="shared" si="13"/>
        <v>0.15299334811529933</v>
      </c>
      <c r="P237" s="8">
        <v>14</v>
      </c>
      <c r="Q237" s="7">
        <f t="shared" si="14"/>
        <v>1.0928096293949951E-2</v>
      </c>
    </row>
    <row r="238" spans="1:17" x14ac:dyDescent="0.35">
      <c r="A238" s="4" t="s">
        <v>54</v>
      </c>
      <c r="B238" s="4" t="s">
        <v>34</v>
      </c>
      <c r="C238" s="4" t="s">
        <v>20</v>
      </c>
      <c r="D238" s="4">
        <v>20</v>
      </c>
      <c r="E238" s="4" t="s">
        <v>9</v>
      </c>
      <c r="F238" s="4" t="s">
        <v>115</v>
      </c>
      <c r="G238" s="4" t="s">
        <v>62</v>
      </c>
      <c r="H238" s="4">
        <v>0.13</v>
      </c>
      <c r="I238" s="4" t="s">
        <v>63</v>
      </c>
      <c r="J238" s="4" t="s">
        <v>1</v>
      </c>
      <c r="K238" s="4">
        <v>9.02</v>
      </c>
      <c r="L238" s="7">
        <f t="shared" si="12"/>
        <v>1.4412416851441243E-2</v>
      </c>
      <c r="M238" s="9">
        <v>-5.7306590257879654E-3</v>
      </c>
      <c r="N238" s="5">
        <f t="shared" si="15"/>
        <v>0</v>
      </c>
      <c r="O238" s="3">
        <f t="shared" si="13"/>
        <v>1.4412416851441243E-2</v>
      </c>
      <c r="P238" s="8">
        <v>31</v>
      </c>
      <c r="Q238" s="7">
        <f t="shared" si="14"/>
        <v>4.6491667262713688E-4</v>
      </c>
    </row>
    <row r="239" spans="1:17" x14ac:dyDescent="0.35">
      <c r="A239" s="4" t="s">
        <v>38</v>
      </c>
      <c r="B239" s="4" t="s">
        <v>34</v>
      </c>
      <c r="C239" s="4" t="s">
        <v>20</v>
      </c>
      <c r="D239" s="4">
        <v>20</v>
      </c>
      <c r="E239" s="4" t="s">
        <v>9</v>
      </c>
      <c r="F239" s="4" t="s">
        <v>114</v>
      </c>
      <c r="G239" s="4" t="s">
        <v>21</v>
      </c>
      <c r="H239" s="4">
        <v>16.920000000000002</v>
      </c>
      <c r="I239" s="4" t="s">
        <v>22</v>
      </c>
      <c r="J239" s="4" t="s">
        <v>1</v>
      </c>
      <c r="K239" s="4">
        <v>9.07</v>
      </c>
      <c r="L239" s="7">
        <f t="shared" si="12"/>
        <v>1.8654906284454247</v>
      </c>
      <c r="M239" s="9">
        <v>0.28358208955223879</v>
      </c>
      <c r="N239" s="5">
        <f t="shared" si="15"/>
        <v>0.28358208955223879</v>
      </c>
      <c r="O239" s="3">
        <f t="shared" si="13"/>
        <v>1.5819085388931859</v>
      </c>
      <c r="P239" s="8">
        <v>12</v>
      </c>
      <c r="Q239" s="7">
        <f t="shared" si="14"/>
        <v>0.13182571157443215</v>
      </c>
    </row>
    <row r="240" spans="1:17" x14ac:dyDescent="0.35">
      <c r="A240" s="4" t="s">
        <v>38</v>
      </c>
      <c r="B240" s="4" t="s">
        <v>34</v>
      </c>
      <c r="C240" s="4" t="s">
        <v>20</v>
      </c>
      <c r="D240" s="4">
        <v>20</v>
      </c>
      <c r="E240" s="4" t="s">
        <v>9</v>
      </c>
      <c r="F240" s="4" t="s">
        <v>114</v>
      </c>
      <c r="G240" s="4" t="s">
        <v>0</v>
      </c>
      <c r="H240" s="4">
        <v>1.54</v>
      </c>
      <c r="I240" s="4" t="s">
        <v>61</v>
      </c>
      <c r="J240" s="4" t="s">
        <v>1</v>
      </c>
      <c r="K240" s="4">
        <v>9.07</v>
      </c>
      <c r="L240" s="7">
        <f t="shared" si="12"/>
        <v>0.16979051819184124</v>
      </c>
      <c r="M240" s="9">
        <v>-0.11442786069651741</v>
      </c>
      <c r="N240" s="5">
        <f t="shared" si="15"/>
        <v>0</v>
      </c>
      <c r="O240" s="3">
        <f t="shared" si="13"/>
        <v>0.16979051819184124</v>
      </c>
      <c r="P240" s="8">
        <v>14</v>
      </c>
      <c r="Q240" s="7">
        <f t="shared" si="14"/>
        <v>1.2127894156560088E-2</v>
      </c>
    </row>
    <row r="241" spans="1:17" x14ac:dyDescent="0.35">
      <c r="A241" s="4" t="s">
        <v>38</v>
      </c>
      <c r="B241" s="4" t="s">
        <v>34</v>
      </c>
      <c r="C241" s="4" t="s">
        <v>20</v>
      </c>
      <c r="D241" s="4">
        <v>20</v>
      </c>
      <c r="E241" s="4" t="s">
        <v>9</v>
      </c>
      <c r="F241" s="4" t="s">
        <v>114</v>
      </c>
      <c r="G241" s="4" t="s">
        <v>62</v>
      </c>
      <c r="H241" s="4">
        <v>0.35</v>
      </c>
      <c r="I241" s="4" t="s">
        <v>63</v>
      </c>
      <c r="J241" s="4" t="s">
        <v>1</v>
      </c>
      <c r="K241" s="4">
        <v>9.07</v>
      </c>
      <c r="L241" s="7">
        <f t="shared" si="12"/>
        <v>3.8588754134509365E-2</v>
      </c>
      <c r="M241" s="9">
        <v>1.4925373134328356E-2</v>
      </c>
      <c r="N241" s="5">
        <f t="shared" si="15"/>
        <v>1.4925373134328356E-2</v>
      </c>
      <c r="O241" s="3">
        <f t="shared" si="13"/>
        <v>2.3663381000181009E-2</v>
      </c>
      <c r="P241" s="8">
        <v>31</v>
      </c>
      <c r="Q241" s="7">
        <f t="shared" si="14"/>
        <v>7.6333487097358097E-4</v>
      </c>
    </row>
    <row r="242" spans="1:17" x14ac:dyDescent="0.35">
      <c r="A242" s="4" t="s">
        <v>38</v>
      </c>
      <c r="B242" s="4" t="s">
        <v>34</v>
      </c>
      <c r="C242" s="4" t="s">
        <v>20</v>
      </c>
      <c r="D242" s="4">
        <v>20</v>
      </c>
      <c r="E242" s="4" t="s">
        <v>9</v>
      </c>
      <c r="F242" s="4" t="s">
        <v>114</v>
      </c>
      <c r="G242" s="4" t="s">
        <v>21</v>
      </c>
      <c r="H242" s="4">
        <v>14.09</v>
      </c>
      <c r="I242" s="4" t="s">
        <v>22</v>
      </c>
      <c r="J242" s="4" t="s">
        <v>1</v>
      </c>
      <c r="K242" s="4">
        <v>7.78</v>
      </c>
      <c r="L242" s="7">
        <f t="shared" si="12"/>
        <v>1.8110539845758353</v>
      </c>
      <c r="M242" s="9">
        <v>0.28358208955223879</v>
      </c>
      <c r="N242" s="5">
        <f t="shared" si="15"/>
        <v>0.28358208955223879</v>
      </c>
      <c r="O242" s="3">
        <f t="shared" si="13"/>
        <v>1.5274718950235966</v>
      </c>
      <c r="P242" s="8">
        <v>12</v>
      </c>
      <c r="Q242" s="7">
        <f t="shared" si="14"/>
        <v>0.12728932458529971</v>
      </c>
    </row>
    <row r="243" spans="1:17" x14ac:dyDescent="0.35">
      <c r="A243" s="4" t="s">
        <v>38</v>
      </c>
      <c r="B243" s="4" t="s">
        <v>34</v>
      </c>
      <c r="C243" s="4" t="s">
        <v>20</v>
      </c>
      <c r="D243" s="4">
        <v>20</v>
      </c>
      <c r="E243" s="4" t="s">
        <v>9</v>
      </c>
      <c r="F243" s="4" t="s">
        <v>114</v>
      </c>
      <c r="G243" s="4" t="s">
        <v>0</v>
      </c>
      <c r="H243" s="4">
        <v>0.17</v>
      </c>
      <c r="I243" s="4" t="s">
        <v>61</v>
      </c>
      <c r="J243" s="4" t="s">
        <v>1</v>
      </c>
      <c r="K243" s="4">
        <v>7.78</v>
      </c>
      <c r="L243" s="7">
        <f t="shared" si="12"/>
        <v>2.1850899742930592E-2</v>
      </c>
      <c r="M243" s="9">
        <v>-0.11442786069651741</v>
      </c>
      <c r="N243" s="5">
        <f t="shared" si="15"/>
        <v>0</v>
      </c>
      <c r="O243" s="3">
        <f t="shared" si="13"/>
        <v>2.1850899742930592E-2</v>
      </c>
      <c r="P243" s="8">
        <v>14</v>
      </c>
      <c r="Q243" s="7">
        <f t="shared" si="14"/>
        <v>1.560778553066471E-3</v>
      </c>
    </row>
    <row r="244" spans="1:17" x14ac:dyDescent="0.35">
      <c r="A244" s="4" t="s">
        <v>38</v>
      </c>
      <c r="B244" s="4" t="s">
        <v>34</v>
      </c>
      <c r="C244" s="4" t="s">
        <v>20</v>
      </c>
      <c r="D244" s="4">
        <v>20</v>
      </c>
      <c r="E244" s="4" t="s">
        <v>9</v>
      </c>
      <c r="F244" s="4" t="s">
        <v>114</v>
      </c>
      <c r="G244" s="4" t="s">
        <v>62</v>
      </c>
      <c r="H244" s="4">
        <v>0.51</v>
      </c>
      <c r="I244" s="4" t="s">
        <v>63</v>
      </c>
      <c r="J244" s="4" t="s">
        <v>1</v>
      </c>
      <c r="K244" s="4">
        <v>7.78</v>
      </c>
      <c r="L244" s="7">
        <f t="shared" si="12"/>
        <v>6.5552699228791769E-2</v>
      </c>
      <c r="M244" s="9">
        <v>1.4925373134328356E-2</v>
      </c>
      <c r="N244" s="5">
        <f t="shared" si="15"/>
        <v>1.4925373134328356E-2</v>
      </c>
      <c r="O244" s="3">
        <f t="shared" si="13"/>
        <v>5.062732609446341E-2</v>
      </c>
      <c r="P244" s="8">
        <v>31</v>
      </c>
      <c r="Q244" s="7">
        <f t="shared" si="14"/>
        <v>1.6331395514343036E-3</v>
      </c>
    </row>
    <row r="245" spans="1:17" x14ac:dyDescent="0.35">
      <c r="A245" s="4" t="s">
        <v>78</v>
      </c>
      <c r="B245" s="4" t="s">
        <v>79</v>
      </c>
      <c r="C245" s="4" t="s">
        <v>20</v>
      </c>
      <c r="D245" s="4">
        <v>274</v>
      </c>
      <c r="E245" s="4" t="s">
        <v>10</v>
      </c>
      <c r="F245" s="4" t="s">
        <v>114</v>
      </c>
      <c r="G245" s="4" t="s">
        <v>21</v>
      </c>
      <c r="H245" s="4">
        <v>9.1300000000000008</v>
      </c>
      <c r="I245" s="4" t="s">
        <v>22</v>
      </c>
      <c r="J245" s="4" t="s">
        <v>1</v>
      </c>
      <c r="K245" s="4">
        <v>10.89</v>
      </c>
      <c r="L245" s="7">
        <f t="shared" si="12"/>
        <v>0.83838383838383845</v>
      </c>
      <c r="M245" s="9">
        <v>0.48138056312443234</v>
      </c>
      <c r="N245" s="5">
        <f t="shared" si="15"/>
        <v>0.48138056312443234</v>
      </c>
      <c r="O245" s="3">
        <f t="shared" si="13"/>
        <v>0.35700327525940612</v>
      </c>
      <c r="P245" s="8">
        <v>12</v>
      </c>
      <c r="Q245" s="7">
        <f t="shared" si="14"/>
        <v>2.9750272938283844E-2</v>
      </c>
    </row>
    <row r="246" spans="1:17" x14ac:dyDescent="0.35">
      <c r="A246" s="4" t="s">
        <v>78</v>
      </c>
      <c r="B246" s="4" t="s">
        <v>79</v>
      </c>
      <c r="C246" s="4" t="s">
        <v>20</v>
      </c>
      <c r="D246" s="4">
        <v>274</v>
      </c>
      <c r="E246" s="4" t="s">
        <v>10</v>
      </c>
      <c r="F246" s="4" t="s">
        <v>114</v>
      </c>
      <c r="G246" s="4" t="s">
        <v>0</v>
      </c>
      <c r="H246" s="4">
        <v>0.56999999999999995</v>
      </c>
      <c r="I246" s="4" t="s">
        <v>61</v>
      </c>
      <c r="J246" s="4" t="s">
        <v>1</v>
      </c>
      <c r="K246" s="4">
        <v>10.89</v>
      </c>
      <c r="L246" s="7">
        <f t="shared" si="12"/>
        <v>5.2341597796143245E-2</v>
      </c>
      <c r="M246" s="9">
        <v>-7.4477747502270666E-2</v>
      </c>
      <c r="N246" s="5">
        <f t="shared" si="15"/>
        <v>0</v>
      </c>
      <c r="O246" s="3">
        <f t="shared" si="13"/>
        <v>5.2341597796143245E-2</v>
      </c>
      <c r="P246" s="8">
        <v>14</v>
      </c>
      <c r="Q246" s="7">
        <f t="shared" si="14"/>
        <v>3.7386855568673745E-3</v>
      </c>
    </row>
    <row r="247" spans="1:17" x14ac:dyDescent="0.35">
      <c r="A247" s="4" t="s">
        <v>78</v>
      </c>
      <c r="B247" s="4" t="s">
        <v>79</v>
      </c>
      <c r="C247" s="4" t="s">
        <v>20</v>
      </c>
      <c r="D247" s="4">
        <v>274</v>
      </c>
      <c r="E247" s="4" t="s">
        <v>10</v>
      </c>
      <c r="F247" s="4" t="s">
        <v>114</v>
      </c>
      <c r="G247" s="4" t="s">
        <v>62</v>
      </c>
      <c r="H247" s="4">
        <v>0.02</v>
      </c>
      <c r="I247" s="4" t="s">
        <v>63</v>
      </c>
      <c r="J247" s="4" t="s">
        <v>1</v>
      </c>
      <c r="K247" s="4">
        <v>10.89</v>
      </c>
      <c r="L247" s="7">
        <f t="shared" si="12"/>
        <v>1.8365472910927456E-3</v>
      </c>
      <c r="M247" s="9">
        <v>-1.1807447774750228E-2</v>
      </c>
      <c r="N247" s="5">
        <f t="shared" si="15"/>
        <v>0</v>
      </c>
      <c r="O247" s="3">
        <f t="shared" si="13"/>
        <v>1.8365472910927456E-3</v>
      </c>
      <c r="P247" s="8">
        <v>31</v>
      </c>
      <c r="Q247" s="7">
        <f t="shared" si="14"/>
        <v>5.9243461002991791E-5</v>
      </c>
    </row>
    <row r="248" spans="1:17" x14ac:dyDescent="0.35">
      <c r="A248" s="4" t="s">
        <v>78</v>
      </c>
      <c r="B248" s="4" t="s">
        <v>79</v>
      </c>
      <c r="C248" s="4" t="s">
        <v>20</v>
      </c>
      <c r="D248" s="4">
        <v>274</v>
      </c>
      <c r="E248" s="4" t="s">
        <v>10</v>
      </c>
      <c r="F248" s="4" t="s">
        <v>114</v>
      </c>
      <c r="G248" s="4" t="s">
        <v>21</v>
      </c>
      <c r="H248" s="4">
        <v>10.09</v>
      </c>
      <c r="I248" s="4" t="s">
        <v>22</v>
      </c>
      <c r="J248" s="4" t="s">
        <v>1</v>
      </c>
      <c r="K248" s="4">
        <v>15.91</v>
      </c>
      <c r="L248" s="7">
        <f t="shared" si="12"/>
        <v>0.6341923318667505</v>
      </c>
      <c r="M248" s="9">
        <v>0.48138056312443234</v>
      </c>
      <c r="N248" s="5">
        <f t="shared" si="15"/>
        <v>0.48138056312443234</v>
      </c>
      <c r="O248" s="3">
        <f t="shared" si="13"/>
        <v>0.15281176874231817</v>
      </c>
      <c r="P248" s="8">
        <v>12</v>
      </c>
      <c r="Q248" s="7">
        <f t="shared" si="14"/>
        <v>1.2734314061859847E-2</v>
      </c>
    </row>
    <row r="249" spans="1:17" x14ac:dyDescent="0.35">
      <c r="A249" s="4" t="s">
        <v>78</v>
      </c>
      <c r="B249" s="4" t="s">
        <v>79</v>
      </c>
      <c r="C249" s="4" t="s">
        <v>20</v>
      </c>
      <c r="D249" s="4">
        <v>274</v>
      </c>
      <c r="E249" s="4" t="s">
        <v>10</v>
      </c>
      <c r="F249" s="4" t="s">
        <v>114</v>
      </c>
      <c r="G249" s="4" t="s">
        <v>0</v>
      </c>
      <c r="H249" s="4">
        <v>-0.22</v>
      </c>
      <c r="I249" s="4" t="s">
        <v>61</v>
      </c>
      <c r="J249" s="4" t="s">
        <v>1</v>
      </c>
      <c r="K249" s="4">
        <v>15.91</v>
      </c>
      <c r="L249" s="7">
        <f t="shared" si="12"/>
        <v>-1.3827781269641735E-2</v>
      </c>
      <c r="M249" s="9">
        <v>-7.4477747502270666E-2</v>
      </c>
      <c r="N249" s="5">
        <f t="shared" si="15"/>
        <v>0</v>
      </c>
      <c r="O249" s="3">
        <f t="shared" si="13"/>
        <v>-1.3827781269641735E-2</v>
      </c>
      <c r="P249" s="8">
        <v>14</v>
      </c>
      <c r="Q249" s="7">
        <f t="shared" si="14"/>
        <v>-9.8769866211726679E-4</v>
      </c>
    </row>
    <row r="250" spans="1:17" x14ac:dyDescent="0.35">
      <c r="A250" s="4" t="s">
        <v>78</v>
      </c>
      <c r="B250" s="4" t="s">
        <v>79</v>
      </c>
      <c r="C250" s="4" t="s">
        <v>20</v>
      </c>
      <c r="D250" s="4">
        <v>274</v>
      </c>
      <c r="E250" s="4" t="s">
        <v>10</v>
      </c>
      <c r="F250" s="4" t="s">
        <v>114</v>
      </c>
      <c r="G250" s="4" t="s">
        <v>62</v>
      </c>
      <c r="H250" s="4">
        <v>0</v>
      </c>
      <c r="I250" s="4" t="s">
        <v>63</v>
      </c>
      <c r="J250" s="4" t="s">
        <v>1</v>
      </c>
      <c r="K250" s="4">
        <v>15.91</v>
      </c>
      <c r="L250" s="7">
        <f t="shared" si="12"/>
        <v>0</v>
      </c>
      <c r="M250" s="9">
        <v>-1.1807447774750228E-2</v>
      </c>
      <c r="N250" s="5">
        <f t="shared" si="15"/>
        <v>0</v>
      </c>
      <c r="O250" s="3">
        <f t="shared" si="13"/>
        <v>0</v>
      </c>
      <c r="P250" s="8">
        <v>31</v>
      </c>
      <c r="Q250" s="7">
        <f t="shared" si="14"/>
        <v>0</v>
      </c>
    </row>
    <row r="251" spans="1:17" x14ac:dyDescent="0.35">
      <c r="A251" s="4" t="s">
        <v>80</v>
      </c>
      <c r="B251" s="4" t="s">
        <v>79</v>
      </c>
      <c r="C251" s="4" t="s">
        <v>20</v>
      </c>
      <c r="D251" s="4">
        <v>274</v>
      </c>
      <c r="E251" s="4" t="s">
        <v>10</v>
      </c>
      <c r="F251" s="4" t="s">
        <v>114</v>
      </c>
      <c r="G251" s="4" t="s">
        <v>21</v>
      </c>
      <c r="H251" s="4">
        <v>8.48</v>
      </c>
      <c r="I251" s="4" t="s">
        <v>22</v>
      </c>
      <c r="J251" s="4" t="s">
        <v>1</v>
      </c>
      <c r="K251" s="4">
        <v>31.46</v>
      </c>
      <c r="L251" s="7">
        <f t="shared" si="12"/>
        <v>0.26954863318499683</v>
      </c>
      <c r="M251" s="9">
        <v>5.8664868509777479E-2</v>
      </c>
      <c r="N251" s="5">
        <f t="shared" si="15"/>
        <v>5.8664868509777479E-2</v>
      </c>
      <c r="O251" s="3">
        <f t="shared" si="13"/>
        <v>0.21088376467521935</v>
      </c>
      <c r="P251" s="8">
        <v>12</v>
      </c>
      <c r="Q251" s="7">
        <f t="shared" si="14"/>
        <v>1.7573647056268279E-2</v>
      </c>
    </row>
    <row r="252" spans="1:17" x14ac:dyDescent="0.35">
      <c r="A252" s="4" t="s">
        <v>80</v>
      </c>
      <c r="B252" s="4" t="s">
        <v>79</v>
      </c>
      <c r="C252" s="4" t="s">
        <v>20</v>
      </c>
      <c r="D252" s="4">
        <v>274</v>
      </c>
      <c r="E252" s="4" t="s">
        <v>10</v>
      </c>
      <c r="F252" s="4" t="s">
        <v>114</v>
      </c>
      <c r="G252" s="4" t="s">
        <v>0</v>
      </c>
      <c r="H252" s="4">
        <v>1.23</v>
      </c>
      <c r="I252" s="4" t="s">
        <v>61</v>
      </c>
      <c r="J252" s="4" t="s">
        <v>1</v>
      </c>
      <c r="K252" s="4">
        <v>31.46</v>
      </c>
      <c r="L252" s="7">
        <f t="shared" si="12"/>
        <v>3.9097266369993638E-2</v>
      </c>
      <c r="M252" s="9">
        <v>-5.6641942009440324E-2</v>
      </c>
      <c r="N252" s="5">
        <f t="shared" si="15"/>
        <v>0</v>
      </c>
      <c r="O252" s="3">
        <f t="shared" si="13"/>
        <v>3.9097266369993638E-2</v>
      </c>
      <c r="P252" s="8">
        <v>14</v>
      </c>
      <c r="Q252" s="7">
        <f t="shared" si="14"/>
        <v>2.7926618835709743E-3</v>
      </c>
    </row>
    <row r="253" spans="1:17" x14ac:dyDescent="0.35">
      <c r="A253" s="4" t="s">
        <v>80</v>
      </c>
      <c r="B253" s="4" t="s">
        <v>79</v>
      </c>
      <c r="C253" s="4" t="s">
        <v>20</v>
      </c>
      <c r="D253" s="4">
        <v>274</v>
      </c>
      <c r="E253" s="4" t="s">
        <v>10</v>
      </c>
      <c r="F253" s="4" t="s">
        <v>114</v>
      </c>
      <c r="G253" s="4" t="s">
        <v>62</v>
      </c>
      <c r="H253" s="4">
        <v>1.86</v>
      </c>
      <c r="I253" s="4" t="s">
        <v>63</v>
      </c>
      <c r="J253" s="4" t="s">
        <v>1</v>
      </c>
      <c r="K253" s="4">
        <v>31.46</v>
      </c>
      <c r="L253" s="7">
        <f t="shared" si="12"/>
        <v>5.9122695486331853E-2</v>
      </c>
      <c r="M253" s="9">
        <v>6.7430883344571819E-3</v>
      </c>
      <c r="N253" s="5">
        <f t="shared" si="15"/>
        <v>6.7430883344571819E-3</v>
      </c>
      <c r="O253" s="3">
        <f t="shared" si="13"/>
        <v>5.2379607151874674E-2</v>
      </c>
      <c r="P253" s="8">
        <v>31</v>
      </c>
      <c r="Q253" s="7">
        <f t="shared" si="14"/>
        <v>1.6896647468346668E-3</v>
      </c>
    </row>
    <row r="254" spans="1:17" x14ac:dyDescent="0.35">
      <c r="A254" s="4" t="s">
        <v>80</v>
      </c>
      <c r="B254" s="4" t="s">
        <v>79</v>
      </c>
      <c r="C254" s="4" t="s">
        <v>20</v>
      </c>
      <c r="D254" s="4">
        <v>274</v>
      </c>
      <c r="E254" s="4" t="s">
        <v>10</v>
      </c>
      <c r="F254" s="4" t="s">
        <v>114</v>
      </c>
      <c r="G254" s="4" t="s">
        <v>21</v>
      </c>
      <c r="H254" s="4">
        <v>14.92</v>
      </c>
      <c r="I254" s="4" t="s">
        <v>22</v>
      </c>
      <c r="J254" s="4" t="s">
        <v>1</v>
      </c>
      <c r="K254" s="4">
        <v>21.97</v>
      </c>
      <c r="L254" s="7">
        <f t="shared" si="12"/>
        <v>0.67910787437414655</v>
      </c>
      <c r="M254" s="9">
        <v>5.8664868509777479E-2</v>
      </c>
      <c r="N254" s="5">
        <f t="shared" si="15"/>
        <v>5.8664868509777479E-2</v>
      </c>
      <c r="O254" s="3">
        <f t="shared" si="13"/>
        <v>0.62044300586436907</v>
      </c>
      <c r="P254" s="8">
        <v>12</v>
      </c>
      <c r="Q254" s="7">
        <f t="shared" si="14"/>
        <v>5.1703583822030753E-2</v>
      </c>
    </row>
    <row r="255" spans="1:17" x14ac:dyDescent="0.35">
      <c r="A255" s="4" t="s">
        <v>80</v>
      </c>
      <c r="B255" s="4" t="s">
        <v>79</v>
      </c>
      <c r="C255" s="4" t="s">
        <v>20</v>
      </c>
      <c r="D255" s="4">
        <v>274</v>
      </c>
      <c r="E255" s="4" t="s">
        <v>10</v>
      </c>
      <c r="F255" s="4" t="s">
        <v>114</v>
      </c>
      <c r="G255" s="4" t="s">
        <v>0</v>
      </c>
      <c r="H255" s="4">
        <v>1.47</v>
      </c>
      <c r="I255" s="4" t="s">
        <v>61</v>
      </c>
      <c r="J255" s="4" t="s">
        <v>1</v>
      </c>
      <c r="K255" s="4">
        <v>21.97</v>
      </c>
      <c r="L255" s="7">
        <f t="shared" si="12"/>
        <v>6.6909421939007743E-2</v>
      </c>
      <c r="M255" s="9">
        <v>-5.6641942009440324E-2</v>
      </c>
      <c r="N255" s="5">
        <f t="shared" si="15"/>
        <v>0</v>
      </c>
      <c r="O255" s="3">
        <f t="shared" si="13"/>
        <v>6.6909421939007743E-2</v>
      </c>
      <c r="P255" s="8">
        <v>14</v>
      </c>
      <c r="Q255" s="7">
        <f t="shared" si="14"/>
        <v>4.7792444242148388E-3</v>
      </c>
    </row>
    <row r="256" spans="1:17" x14ac:dyDescent="0.35">
      <c r="A256" s="4" t="s">
        <v>80</v>
      </c>
      <c r="B256" s="4" t="s">
        <v>79</v>
      </c>
      <c r="C256" s="4" t="s">
        <v>20</v>
      </c>
      <c r="D256" s="4">
        <v>274</v>
      </c>
      <c r="E256" s="4" t="s">
        <v>10</v>
      </c>
      <c r="F256" s="4" t="s">
        <v>114</v>
      </c>
      <c r="G256" s="4" t="s">
        <v>62</v>
      </c>
      <c r="H256" s="4">
        <v>1.53</v>
      </c>
      <c r="I256" s="4" t="s">
        <v>63</v>
      </c>
      <c r="J256" s="4" t="s">
        <v>1</v>
      </c>
      <c r="K256" s="4">
        <v>21.97</v>
      </c>
      <c r="L256" s="7">
        <f t="shared" si="12"/>
        <v>6.9640418752844796E-2</v>
      </c>
      <c r="M256" s="9">
        <v>6.7430883344571819E-3</v>
      </c>
      <c r="N256" s="5">
        <f t="shared" si="15"/>
        <v>6.7430883344571819E-3</v>
      </c>
      <c r="O256" s="3">
        <f t="shared" si="13"/>
        <v>6.2897330418387618E-2</v>
      </c>
      <c r="P256" s="8">
        <v>31</v>
      </c>
      <c r="Q256" s="7">
        <f t="shared" si="14"/>
        <v>2.0289461425286328E-3</v>
      </c>
    </row>
    <row r="257" spans="1:17" x14ac:dyDescent="0.35">
      <c r="A257" s="4" t="s">
        <v>80</v>
      </c>
      <c r="B257" s="4" t="s">
        <v>79</v>
      </c>
      <c r="C257" s="4" t="s">
        <v>20</v>
      </c>
      <c r="D257" s="4">
        <v>274</v>
      </c>
      <c r="E257" s="4" t="s">
        <v>10</v>
      </c>
      <c r="F257" s="4" t="s">
        <v>114</v>
      </c>
      <c r="G257" s="4" t="s">
        <v>21</v>
      </c>
      <c r="H257" s="4">
        <v>1.93</v>
      </c>
      <c r="I257" s="4" t="s">
        <v>22</v>
      </c>
      <c r="J257" s="4" t="s">
        <v>1</v>
      </c>
      <c r="K257" s="4">
        <v>45.29</v>
      </c>
      <c r="L257" s="7">
        <f t="shared" si="12"/>
        <v>4.2614263634356372E-2</v>
      </c>
      <c r="M257" s="9">
        <v>5.8664868509777479E-2</v>
      </c>
      <c r="N257" s="5">
        <f t="shared" si="15"/>
        <v>5.8664868509777479E-2</v>
      </c>
      <c r="O257" s="3">
        <f t="shared" si="13"/>
        <v>-1.6050604875421107E-2</v>
      </c>
      <c r="P257" s="8">
        <v>12</v>
      </c>
      <c r="Q257" s="7">
        <f t="shared" si="14"/>
        <v>-1.3375504062850922E-3</v>
      </c>
    </row>
    <row r="258" spans="1:17" x14ac:dyDescent="0.35">
      <c r="A258" s="4" t="s">
        <v>80</v>
      </c>
      <c r="B258" s="4" t="s">
        <v>79</v>
      </c>
      <c r="C258" s="4" t="s">
        <v>20</v>
      </c>
      <c r="D258" s="4">
        <v>274</v>
      </c>
      <c r="E258" s="4" t="s">
        <v>10</v>
      </c>
      <c r="F258" s="4" t="s">
        <v>114</v>
      </c>
      <c r="G258" s="4" t="s">
        <v>0</v>
      </c>
      <c r="H258" s="4">
        <v>0.19</v>
      </c>
      <c r="I258" s="4" t="s">
        <v>61</v>
      </c>
      <c r="J258" s="4" t="s">
        <v>1</v>
      </c>
      <c r="K258" s="4">
        <v>45.29</v>
      </c>
      <c r="L258" s="7">
        <f t="shared" si="12"/>
        <v>4.1951865754029588E-3</v>
      </c>
      <c r="M258" s="9">
        <v>-5.6641942009440324E-2</v>
      </c>
      <c r="N258" s="5">
        <f t="shared" si="15"/>
        <v>0</v>
      </c>
      <c r="O258" s="3">
        <f t="shared" si="13"/>
        <v>4.1951865754029588E-3</v>
      </c>
      <c r="P258" s="8">
        <v>14</v>
      </c>
      <c r="Q258" s="7">
        <f t="shared" si="14"/>
        <v>2.9965618395735421E-4</v>
      </c>
    </row>
    <row r="259" spans="1:17" x14ac:dyDescent="0.35">
      <c r="A259" s="4" t="s">
        <v>80</v>
      </c>
      <c r="B259" s="4" t="s">
        <v>79</v>
      </c>
      <c r="C259" s="4" t="s">
        <v>20</v>
      </c>
      <c r="D259" s="4">
        <v>274</v>
      </c>
      <c r="E259" s="4" t="s">
        <v>10</v>
      </c>
      <c r="F259" s="4" t="s">
        <v>114</v>
      </c>
      <c r="G259" s="4" t="s">
        <v>62</v>
      </c>
      <c r="H259" s="4">
        <v>3.08</v>
      </c>
      <c r="I259" s="4" t="s">
        <v>63</v>
      </c>
      <c r="J259" s="4" t="s">
        <v>1</v>
      </c>
      <c r="K259" s="4">
        <v>45.29</v>
      </c>
      <c r="L259" s="7">
        <f t="shared" ref="L259:L313" si="16">H259/K259</f>
        <v>6.8006182380216385E-2</v>
      </c>
      <c r="M259" s="9">
        <v>6.7430883344571819E-3</v>
      </c>
      <c r="N259" s="5">
        <f t="shared" si="15"/>
        <v>6.7430883344571819E-3</v>
      </c>
      <c r="O259" s="3">
        <f t="shared" ref="O259:O307" si="17">L259-N259</f>
        <v>6.1263094045759206E-2</v>
      </c>
      <c r="P259" s="8">
        <v>31</v>
      </c>
      <c r="Q259" s="7">
        <f t="shared" ref="Q259:Q313" si="18">O259/P259</f>
        <v>1.9762288401857808E-3</v>
      </c>
    </row>
    <row r="260" spans="1:17" x14ac:dyDescent="0.35">
      <c r="A260" s="4" t="s">
        <v>81</v>
      </c>
      <c r="B260" s="4" t="s">
        <v>79</v>
      </c>
      <c r="C260" s="4" t="s">
        <v>20</v>
      </c>
      <c r="D260" s="4">
        <v>274</v>
      </c>
      <c r="E260" s="4" t="s">
        <v>10</v>
      </c>
      <c r="F260" s="4" t="s">
        <v>114</v>
      </c>
      <c r="G260" s="4" t="s">
        <v>21</v>
      </c>
      <c r="H260" s="4">
        <v>59.12</v>
      </c>
      <c r="I260" s="4" t="s">
        <v>22</v>
      </c>
      <c r="J260" s="4" t="s">
        <v>1</v>
      </c>
      <c r="K260" s="4">
        <v>9.66</v>
      </c>
      <c r="L260" s="7">
        <f t="shared" si="16"/>
        <v>6.1200828157349889</v>
      </c>
      <c r="M260" s="9">
        <v>0.10104302477183834</v>
      </c>
      <c r="N260" s="5">
        <f t="shared" ref="N260:N313" si="19">IF(M260&lt;0,0,M260)</f>
        <v>0.10104302477183834</v>
      </c>
      <c r="O260" s="3">
        <f t="shared" si="17"/>
        <v>6.0190397909631503</v>
      </c>
      <c r="P260" s="8">
        <v>12</v>
      </c>
      <c r="Q260" s="7">
        <f t="shared" si="18"/>
        <v>0.50158664924692919</v>
      </c>
    </row>
    <row r="261" spans="1:17" x14ac:dyDescent="0.35">
      <c r="A261" s="4" t="s">
        <v>81</v>
      </c>
      <c r="B261" s="4" t="s">
        <v>79</v>
      </c>
      <c r="C261" s="4" t="s">
        <v>20</v>
      </c>
      <c r="D261" s="4">
        <v>274</v>
      </c>
      <c r="E261" s="4" t="s">
        <v>10</v>
      </c>
      <c r="F261" s="4" t="s">
        <v>114</v>
      </c>
      <c r="G261" s="4" t="s">
        <v>0</v>
      </c>
      <c r="H261" s="4">
        <v>-2.91</v>
      </c>
      <c r="I261" s="4" t="s">
        <v>61</v>
      </c>
      <c r="J261" s="4" t="s">
        <v>1</v>
      </c>
      <c r="K261" s="4">
        <v>9.66</v>
      </c>
      <c r="L261" s="7">
        <f t="shared" si="16"/>
        <v>-0.30124223602484473</v>
      </c>
      <c r="M261" s="9">
        <v>-5.4758800521512385E-2</v>
      </c>
      <c r="N261" s="5">
        <f t="shared" si="19"/>
        <v>0</v>
      </c>
      <c r="O261" s="3">
        <f t="shared" si="17"/>
        <v>-0.30124223602484473</v>
      </c>
      <c r="P261" s="8">
        <v>14</v>
      </c>
      <c r="Q261" s="7">
        <f t="shared" si="18"/>
        <v>-2.1517302573203195E-2</v>
      </c>
    </row>
    <row r="262" spans="1:17" x14ac:dyDescent="0.35">
      <c r="A262" s="4" t="s">
        <v>81</v>
      </c>
      <c r="B262" s="4" t="s">
        <v>79</v>
      </c>
      <c r="C262" s="4" t="s">
        <v>20</v>
      </c>
      <c r="D262" s="4">
        <v>274</v>
      </c>
      <c r="E262" s="4" t="s">
        <v>10</v>
      </c>
      <c r="F262" s="4" t="s">
        <v>114</v>
      </c>
      <c r="G262" s="4" t="s">
        <v>62</v>
      </c>
      <c r="H262" s="4">
        <v>0</v>
      </c>
      <c r="I262" s="4" t="s">
        <v>63</v>
      </c>
      <c r="J262" s="4" t="s">
        <v>1</v>
      </c>
      <c r="K262" s="4">
        <v>9.66</v>
      </c>
      <c r="L262" s="7">
        <f t="shared" si="16"/>
        <v>0</v>
      </c>
      <c r="M262" s="9">
        <v>-1.3037809647979139E-3</v>
      </c>
      <c r="N262" s="5">
        <f t="shared" si="19"/>
        <v>0</v>
      </c>
      <c r="O262" s="3">
        <f t="shared" si="17"/>
        <v>0</v>
      </c>
      <c r="P262" s="8">
        <v>31</v>
      </c>
      <c r="Q262" s="7">
        <f t="shared" si="18"/>
        <v>0</v>
      </c>
    </row>
    <row r="263" spans="1:17" x14ac:dyDescent="0.35">
      <c r="A263" s="4" t="s">
        <v>81</v>
      </c>
      <c r="B263" s="4" t="s">
        <v>79</v>
      </c>
      <c r="C263" s="4" t="s">
        <v>20</v>
      </c>
      <c r="D263" s="4">
        <v>274</v>
      </c>
      <c r="E263" s="4" t="s">
        <v>10</v>
      </c>
      <c r="F263" s="4" t="s">
        <v>114</v>
      </c>
      <c r="G263" s="4" t="s">
        <v>21</v>
      </c>
      <c r="H263" s="4">
        <v>60.27</v>
      </c>
      <c r="I263" s="4" t="s">
        <v>22</v>
      </c>
      <c r="J263" s="4" t="s">
        <v>1</v>
      </c>
      <c r="K263" s="4">
        <v>9.8699999999999992</v>
      </c>
      <c r="L263" s="7">
        <f t="shared" si="16"/>
        <v>6.1063829787234054</v>
      </c>
      <c r="M263" s="9">
        <v>0.10104302477183834</v>
      </c>
      <c r="N263" s="5">
        <f t="shared" si="19"/>
        <v>0.10104302477183834</v>
      </c>
      <c r="O263" s="3">
        <f t="shared" si="17"/>
        <v>6.0053399539515668</v>
      </c>
      <c r="P263" s="8">
        <v>12</v>
      </c>
      <c r="Q263" s="7">
        <f t="shared" si="18"/>
        <v>0.50044499616263061</v>
      </c>
    </row>
    <row r="264" spans="1:17" x14ac:dyDescent="0.35">
      <c r="A264" s="4" t="s">
        <v>81</v>
      </c>
      <c r="B264" s="4" t="s">
        <v>79</v>
      </c>
      <c r="C264" s="4" t="s">
        <v>20</v>
      </c>
      <c r="D264" s="4">
        <v>274</v>
      </c>
      <c r="E264" s="4" t="s">
        <v>10</v>
      </c>
      <c r="F264" s="4" t="s">
        <v>114</v>
      </c>
      <c r="G264" s="4" t="s">
        <v>0</v>
      </c>
      <c r="H264" s="4">
        <v>-0.66</v>
      </c>
      <c r="I264" s="4" t="s">
        <v>61</v>
      </c>
      <c r="J264" s="4" t="s">
        <v>1</v>
      </c>
      <c r="K264" s="4">
        <v>9.8699999999999992</v>
      </c>
      <c r="L264" s="7">
        <f t="shared" si="16"/>
        <v>-6.6869300911854113E-2</v>
      </c>
      <c r="M264" s="9">
        <v>-5.4758800521512385E-2</v>
      </c>
      <c r="N264" s="5">
        <f t="shared" si="19"/>
        <v>0</v>
      </c>
      <c r="O264" s="3">
        <f t="shared" si="17"/>
        <v>-6.6869300911854113E-2</v>
      </c>
      <c r="P264" s="8">
        <v>14</v>
      </c>
      <c r="Q264" s="7">
        <f t="shared" si="18"/>
        <v>-4.7763786365610083E-3</v>
      </c>
    </row>
    <row r="265" spans="1:17" x14ac:dyDescent="0.35">
      <c r="A265" s="4" t="s">
        <v>81</v>
      </c>
      <c r="B265" s="4" t="s">
        <v>79</v>
      </c>
      <c r="C265" s="4" t="s">
        <v>20</v>
      </c>
      <c r="D265" s="4">
        <v>274</v>
      </c>
      <c r="E265" s="4" t="s">
        <v>10</v>
      </c>
      <c r="F265" s="4" t="s">
        <v>114</v>
      </c>
      <c r="G265" s="4" t="s">
        <v>62</v>
      </c>
      <c r="H265" s="4">
        <v>0.04</v>
      </c>
      <c r="I265" s="4" t="s">
        <v>63</v>
      </c>
      <c r="J265" s="4" t="s">
        <v>1</v>
      </c>
      <c r="K265" s="4">
        <v>9.8699999999999992</v>
      </c>
      <c r="L265" s="7">
        <f t="shared" si="16"/>
        <v>4.0526849037487338E-3</v>
      </c>
      <c r="M265" s="9">
        <v>-1.3037809647979139E-3</v>
      </c>
      <c r="N265" s="5">
        <f t="shared" si="19"/>
        <v>0</v>
      </c>
      <c r="O265" s="3">
        <f t="shared" si="17"/>
        <v>4.0526849037487338E-3</v>
      </c>
      <c r="P265" s="8">
        <v>31</v>
      </c>
      <c r="Q265" s="7">
        <f t="shared" si="18"/>
        <v>1.3073177108866883E-4</v>
      </c>
    </row>
    <row r="266" spans="1:17" x14ac:dyDescent="0.35">
      <c r="A266" s="4" t="s">
        <v>82</v>
      </c>
      <c r="B266" s="4" t="s">
        <v>79</v>
      </c>
      <c r="C266" s="4" t="s">
        <v>20</v>
      </c>
      <c r="D266" s="4">
        <v>274</v>
      </c>
      <c r="E266" s="4" t="s">
        <v>10</v>
      </c>
      <c r="F266" s="4" t="s">
        <v>114</v>
      </c>
      <c r="G266" s="4" t="s">
        <v>21</v>
      </c>
      <c r="H266" s="4">
        <v>28.03</v>
      </c>
      <c r="I266" s="4" t="s">
        <v>22</v>
      </c>
      <c r="J266" s="4" t="s">
        <v>1</v>
      </c>
      <c r="K266" s="4">
        <v>11.45</v>
      </c>
      <c r="L266" s="7">
        <f t="shared" si="16"/>
        <v>2.4480349344978167</v>
      </c>
      <c r="M266" s="9">
        <v>0.30203720106288756</v>
      </c>
      <c r="N266" s="5">
        <f t="shared" si="19"/>
        <v>0.30203720106288756</v>
      </c>
      <c r="O266" s="3">
        <f t="shared" si="17"/>
        <v>2.1459977334349292</v>
      </c>
      <c r="P266" s="8">
        <v>12</v>
      </c>
      <c r="Q266" s="7">
        <f t="shared" si="18"/>
        <v>0.17883314445291076</v>
      </c>
    </row>
    <row r="267" spans="1:17" x14ac:dyDescent="0.35">
      <c r="A267" s="4" t="s">
        <v>82</v>
      </c>
      <c r="B267" s="4" t="s">
        <v>79</v>
      </c>
      <c r="C267" s="4" t="s">
        <v>20</v>
      </c>
      <c r="D267" s="4">
        <v>274</v>
      </c>
      <c r="E267" s="4" t="s">
        <v>10</v>
      </c>
      <c r="F267" s="4" t="s">
        <v>114</v>
      </c>
      <c r="G267" s="4" t="s">
        <v>0</v>
      </c>
      <c r="H267" s="4">
        <v>3.65</v>
      </c>
      <c r="I267" s="4" t="s">
        <v>61</v>
      </c>
      <c r="J267" s="4" t="s">
        <v>1</v>
      </c>
      <c r="K267" s="4">
        <v>11.45</v>
      </c>
      <c r="L267" s="7">
        <f t="shared" si="16"/>
        <v>0.31877729257641924</v>
      </c>
      <c r="M267" s="9">
        <v>-3.5429583702391502E-3</v>
      </c>
      <c r="N267" s="5">
        <f t="shared" si="19"/>
        <v>0</v>
      </c>
      <c r="O267" s="3">
        <f t="shared" si="17"/>
        <v>0.31877729257641924</v>
      </c>
      <c r="P267" s="8">
        <v>14</v>
      </c>
      <c r="Q267" s="7">
        <f t="shared" si="18"/>
        <v>2.2769806612601372E-2</v>
      </c>
    </row>
    <row r="268" spans="1:17" x14ac:dyDescent="0.35">
      <c r="A268" s="4" t="s">
        <v>82</v>
      </c>
      <c r="B268" s="4" t="s">
        <v>79</v>
      </c>
      <c r="C268" s="4" t="s">
        <v>20</v>
      </c>
      <c r="D268" s="4">
        <v>274</v>
      </c>
      <c r="E268" s="4" t="s">
        <v>10</v>
      </c>
      <c r="F268" s="4" t="s">
        <v>114</v>
      </c>
      <c r="G268" s="4" t="s">
        <v>62</v>
      </c>
      <c r="H268" s="4">
        <v>0.38</v>
      </c>
      <c r="I268" s="4" t="s">
        <v>63</v>
      </c>
      <c r="J268" s="4" t="s">
        <v>1</v>
      </c>
      <c r="K268" s="4">
        <v>11.45</v>
      </c>
      <c r="L268" s="7">
        <f t="shared" si="16"/>
        <v>3.3187772925764192E-2</v>
      </c>
      <c r="M268" s="9">
        <v>-2.6572187776793626E-3</v>
      </c>
      <c r="N268" s="5">
        <f t="shared" si="19"/>
        <v>0</v>
      </c>
      <c r="O268" s="3">
        <f t="shared" si="17"/>
        <v>3.3187772925764192E-2</v>
      </c>
      <c r="P268" s="8">
        <v>31</v>
      </c>
      <c r="Q268" s="7">
        <f t="shared" si="18"/>
        <v>1.0705733201859416E-3</v>
      </c>
    </row>
    <row r="269" spans="1:17" x14ac:dyDescent="0.35">
      <c r="A269" s="4" t="s">
        <v>82</v>
      </c>
      <c r="B269" s="4" t="s">
        <v>79</v>
      </c>
      <c r="C269" s="4" t="s">
        <v>20</v>
      </c>
      <c r="D269" s="4">
        <v>274</v>
      </c>
      <c r="E269" s="4" t="s">
        <v>10</v>
      </c>
      <c r="F269" s="4" t="s">
        <v>114</v>
      </c>
      <c r="G269" s="4" t="s">
        <v>21</v>
      </c>
      <c r="H269" s="4">
        <v>34.4</v>
      </c>
      <c r="I269" s="4" t="s">
        <v>22</v>
      </c>
      <c r="J269" s="4" t="s">
        <v>1</v>
      </c>
      <c r="K269" s="4">
        <v>11.38</v>
      </c>
      <c r="L269" s="7">
        <f t="shared" si="16"/>
        <v>3.0228471001757464</v>
      </c>
      <c r="M269" s="9">
        <v>0.30203720106288756</v>
      </c>
      <c r="N269" s="5">
        <f t="shared" si="19"/>
        <v>0.30203720106288756</v>
      </c>
      <c r="O269" s="3">
        <f t="shared" si="17"/>
        <v>2.7208098991128589</v>
      </c>
      <c r="P269" s="8">
        <v>12</v>
      </c>
      <c r="Q269" s="7">
        <f t="shared" si="18"/>
        <v>0.22673415825940491</v>
      </c>
    </row>
    <row r="270" spans="1:17" x14ac:dyDescent="0.35">
      <c r="A270" s="4" t="s">
        <v>82</v>
      </c>
      <c r="B270" s="4" t="s">
        <v>79</v>
      </c>
      <c r="C270" s="4" t="s">
        <v>20</v>
      </c>
      <c r="D270" s="4">
        <v>274</v>
      </c>
      <c r="E270" s="4" t="s">
        <v>10</v>
      </c>
      <c r="F270" s="4" t="s">
        <v>114</v>
      </c>
      <c r="G270" s="4" t="s">
        <v>0</v>
      </c>
      <c r="H270" s="4">
        <v>4.17</v>
      </c>
      <c r="I270" s="4" t="s">
        <v>61</v>
      </c>
      <c r="J270" s="4" t="s">
        <v>1</v>
      </c>
      <c r="K270" s="4">
        <v>11.38</v>
      </c>
      <c r="L270" s="7">
        <f t="shared" si="16"/>
        <v>0.36643233743409487</v>
      </c>
      <c r="M270" s="9">
        <v>-3.5429583702391502E-3</v>
      </c>
      <c r="N270" s="5">
        <f t="shared" si="19"/>
        <v>0</v>
      </c>
      <c r="O270" s="3">
        <f t="shared" si="17"/>
        <v>0.36643233743409487</v>
      </c>
      <c r="P270" s="8">
        <v>14</v>
      </c>
      <c r="Q270" s="7">
        <f t="shared" si="18"/>
        <v>2.6173738388149632E-2</v>
      </c>
    </row>
    <row r="271" spans="1:17" x14ac:dyDescent="0.35">
      <c r="A271" s="4" t="s">
        <v>82</v>
      </c>
      <c r="B271" s="4" t="s">
        <v>79</v>
      </c>
      <c r="C271" s="4" t="s">
        <v>20</v>
      </c>
      <c r="D271" s="4">
        <v>274</v>
      </c>
      <c r="E271" s="4" t="s">
        <v>10</v>
      </c>
      <c r="F271" s="4" t="s">
        <v>114</v>
      </c>
      <c r="G271" s="4" t="s">
        <v>62</v>
      </c>
      <c r="H271" s="4">
        <v>0.25</v>
      </c>
      <c r="I271" s="4" t="s">
        <v>63</v>
      </c>
      <c r="J271" s="4" t="s">
        <v>1</v>
      </c>
      <c r="K271" s="4">
        <v>11.38</v>
      </c>
      <c r="L271" s="7">
        <f t="shared" si="16"/>
        <v>2.196836555360281E-2</v>
      </c>
      <c r="M271" s="9">
        <v>-2.6572187776793626E-3</v>
      </c>
      <c r="N271" s="5">
        <f t="shared" si="19"/>
        <v>0</v>
      </c>
      <c r="O271" s="3">
        <f t="shared" si="17"/>
        <v>2.196836555360281E-2</v>
      </c>
      <c r="P271" s="8">
        <v>31</v>
      </c>
      <c r="Q271" s="7">
        <f t="shared" si="18"/>
        <v>7.0865695334202609E-4</v>
      </c>
    </row>
    <row r="272" spans="1:17" x14ac:dyDescent="0.35">
      <c r="A272" s="4" t="s">
        <v>85</v>
      </c>
      <c r="B272" s="4" t="s">
        <v>79</v>
      </c>
      <c r="C272" s="4" t="s">
        <v>20</v>
      </c>
      <c r="D272" s="4">
        <v>274</v>
      </c>
      <c r="E272" s="4" t="s">
        <v>10</v>
      </c>
      <c r="F272" s="4" t="s">
        <v>145</v>
      </c>
      <c r="G272" s="4" t="s">
        <v>21</v>
      </c>
      <c r="H272" s="4">
        <v>12.2</v>
      </c>
      <c r="I272" s="4" t="s">
        <v>22</v>
      </c>
      <c r="J272" s="4" t="s">
        <v>1</v>
      </c>
      <c r="K272" s="4">
        <v>13.44</v>
      </c>
      <c r="L272" s="7">
        <f t="shared" si="16"/>
        <v>0.90773809523809523</v>
      </c>
      <c r="M272" s="9">
        <v>0.13735783027121612</v>
      </c>
      <c r="N272" s="5">
        <f t="shared" si="19"/>
        <v>0.13735783027121612</v>
      </c>
      <c r="O272" s="3">
        <f t="shared" si="17"/>
        <v>0.77038026496687917</v>
      </c>
      <c r="P272" s="8">
        <v>12</v>
      </c>
      <c r="Q272" s="7">
        <f t="shared" si="18"/>
        <v>6.4198355413906602E-2</v>
      </c>
    </row>
    <row r="273" spans="1:17" x14ac:dyDescent="0.35">
      <c r="A273" s="4" t="s">
        <v>85</v>
      </c>
      <c r="B273" s="4" t="s">
        <v>79</v>
      </c>
      <c r="C273" s="4" t="s">
        <v>20</v>
      </c>
      <c r="D273" s="4">
        <v>274</v>
      </c>
      <c r="E273" s="4" t="s">
        <v>10</v>
      </c>
      <c r="F273" s="4" t="s">
        <v>145</v>
      </c>
      <c r="G273" s="4" t="s">
        <v>0</v>
      </c>
      <c r="H273" s="4">
        <v>0.87</v>
      </c>
      <c r="I273" s="4" t="s">
        <v>61</v>
      </c>
      <c r="J273" s="4" t="s">
        <v>1</v>
      </c>
      <c r="K273" s="4">
        <v>13.44</v>
      </c>
      <c r="L273" s="7">
        <f t="shared" si="16"/>
        <v>6.4732142857142863E-2</v>
      </c>
      <c r="M273" s="9">
        <v>-7.3490813648293962E-2</v>
      </c>
      <c r="N273" s="5">
        <f t="shared" si="19"/>
        <v>0</v>
      </c>
      <c r="O273" s="3">
        <f t="shared" si="17"/>
        <v>6.4732142857142863E-2</v>
      </c>
      <c r="P273" s="8">
        <v>14</v>
      </c>
      <c r="Q273" s="7">
        <f t="shared" si="18"/>
        <v>4.6237244897959192E-3</v>
      </c>
    </row>
    <row r="274" spans="1:17" x14ac:dyDescent="0.35">
      <c r="A274" s="4" t="s">
        <v>85</v>
      </c>
      <c r="B274" s="4" t="s">
        <v>79</v>
      </c>
      <c r="C274" s="4" t="s">
        <v>20</v>
      </c>
      <c r="D274" s="4">
        <v>274</v>
      </c>
      <c r="E274" s="4" t="s">
        <v>10</v>
      </c>
      <c r="F274" s="4" t="s">
        <v>145</v>
      </c>
      <c r="G274" s="4" t="s">
        <v>62</v>
      </c>
      <c r="H274" s="4">
        <v>0.2</v>
      </c>
      <c r="I274" s="4" t="s">
        <v>63</v>
      </c>
      <c r="J274" s="4" t="s">
        <v>1</v>
      </c>
      <c r="K274" s="4">
        <v>13.44</v>
      </c>
      <c r="L274" s="7">
        <f t="shared" si="16"/>
        <v>1.4880952380952382E-2</v>
      </c>
      <c r="M274" s="9">
        <v>-8.7489063867016625E-4</v>
      </c>
      <c r="N274" s="5">
        <f t="shared" si="19"/>
        <v>0</v>
      </c>
      <c r="O274" s="3">
        <f t="shared" si="17"/>
        <v>1.4880952380952382E-2</v>
      </c>
      <c r="P274" s="8">
        <v>31</v>
      </c>
      <c r="Q274" s="7">
        <f t="shared" si="18"/>
        <v>4.8003072196620589E-4</v>
      </c>
    </row>
    <row r="275" spans="1:17" x14ac:dyDescent="0.35">
      <c r="A275" s="4" t="s">
        <v>85</v>
      </c>
      <c r="B275" s="4" t="s">
        <v>79</v>
      </c>
      <c r="C275" s="4" t="s">
        <v>20</v>
      </c>
      <c r="D275" s="4">
        <v>274</v>
      </c>
      <c r="E275" s="4" t="s">
        <v>10</v>
      </c>
      <c r="F275" s="4" t="s">
        <v>145</v>
      </c>
      <c r="G275" s="4" t="s">
        <v>21</v>
      </c>
      <c r="H275" s="4">
        <v>5.12</v>
      </c>
      <c r="I275" s="4" t="s">
        <v>22</v>
      </c>
      <c r="J275" s="4" t="s">
        <v>1</v>
      </c>
      <c r="K275" s="4">
        <v>15.3</v>
      </c>
      <c r="L275" s="7">
        <f t="shared" si="16"/>
        <v>0.33464052287581697</v>
      </c>
      <c r="M275" s="9">
        <v>0.13735783027121612</v>
      </c>
      <c r="N275" s="5">
        <f t="shared" si="19"/>
        <v>0.13735783027121612</v>
      </c>
      <c r="O275" s="3">
        <f t="shared" si="17"/>
        <v>0.19728269260460085</v>
      </c>
      <c r="P275" s="8">
        <v>12</v>
      </c>
      <c r="Q275" s="7">
        <f t="shared" si="18"/>
        <v>1.6440224383716739E-2</v>
      </c>
    </row>
    <row r="276" spans="1:17" x14ac:dyDescent="0.35">
      <c r="A276" s="4" t="s">
        <v>85</v>
      </c>
      <c r="B276" s="4" t="s">
        <v>79</v>
      </c>
      <c r="C276" s="4" t="s">
        <v>20</v>
      </c>
      <c r="D276" s="4">
        <v>274</v>
      </c>
      <c r="E276" s="4" t="s">
        <v>10</v>
      </c>
      <c r="F276" s="4" t="s">
        <v>145</v>
      </c>
      <c r="G276" s="4" t="s">
        <v>0</v>
      </c>
      <c r="H276" s="4">
        <v>-0.47</v>
      </c>
      <c r="I276" s="4" t="s">
        <v>61</v>
      </c>
      <c r="J276" s="4" t="s">
        <v>1</v>
      </c>
      <c r="K276" s="4">
        <v>15.3</v>
      </c>
      <c r="L276" s="7">
        <f t="shared" si="16"/>
        <v>-3.0718954248366011E-2</v>
      </c>
      <c r="M276" s="9">
        <v>-7.3490813648293962E-2</v>
      </c>
      <c r="N276" s="5">
        <f t="shared" si="19"/>
        <v>0</v>
      </c>
      <c r="O276" s="3">
        <f t="shared" si="17"/>
        <v>-3.0718954248366011E-2</v>
      </c>
      <c r="P276" s="8">
        <v>14</v>
      </c>
      <c r="Q276" s="7">
        <f t="shared" si="18"/>
        <v>-2.1942110177404295E-3</v>
      </c>
    </row>
    <row r="277" spans="1:17" x14ac:dyDescent="0.35">
      <c r="A277" s="4" t="s">
        <v>85</v>
      </c>
      <c r="B277" s="4" t="s">
        <v>79</v>
      </c>
      <c r="C277" s="4" t="s">
        <v>20</v>
      </c>
      <c r="D277" s="4">
        <v>274</v>
      </c>
      <c r="E277" s="4" t="s">
        <v>10</v>
      </c>
      <c r="F277" s="4" t="s">
        <v>145</v>
      </c>
      <c r="G277" s="4" t="s">
        <v>62</v>
      </c>
      <c r="H277" s="4">
        <v>-0.04</v>
      </c>
      <c r="I277" s="4" t="s">
        <v>63</v>
      </c>
      <c r="J277" s="4" t="s">
        <v>1</v>
      </c>
      <c r="K277" s="4">
        <v>15.3</v>
      </c>
      <c r="L277" s="7">
        <f t="shared" si="16"/>
        <v>-2.6143790849673201E-3</v>
      </c>
      <c r="M277" s="9">
        <v>-8.7489063867016625E-4</v>
      </c>
      <c r="N277" s="5">
        <f t="shared" si="19"/>
        <v>0</v>
      </c>
      <c r="O277" s="3">
        <f t="shared" si="17"/>
        <v>-2.6143790849673201E-3</v>
      </c>
      <c r="P277" s="8">
        <v>31</v>
      </c>
      <c r="Q277" s="7">
        <f t="shared" si="18"/>
        <v>-8.4334809192494203E-5</v>
      </c>
    </row>
    <row r="278" spans="1:17" x14ac:dyDescent="0.35">
      <c r="A278" s="4" t="s">
        <v>85</v>
      </c>
      <c r="B278" s="4" t="s">
        <v>79</v>
      </c>
      <c r="C278" s="4" t="s">
        <v>20</v>
      </c>
      <c r="D278" s="4">
        <v>274</v>
      </c>
      <c r="E278" s="4" t="s">
        <v>10</v>
      </c>
      <c r="F278" s="4" t="s">
        <v>115</v>
      </c>
      <c r="G278" s="4" t="s">
        <v>21</v>
      </c>
      <c r="H278" s="4">
        <v>11.37</v>
      </c>
      <c r="I278" s="4" t="s">
        <v>22</v>
      </c>
      <c r="J278" s="4" t="s">
        <v>1</v>
      </c>
      <c r="K278" s="4">
        <v>15.1</v>
      </c>
      <c r="L278" s="7">
        <f t="shared" si="16"/>
        <v>0.75298013245033113</v>
      </c>
      <c r="M278" s="9">
        <v>0.13735783027121612</v>
      </c>
      <c r="N278" s="5">
        <f t="shared" si="19"/>
        <v>0.13735783027121612</v>
      </c>
      <c r="O278" s="3">
        <f t="shared" si="17"/>
        <v>0.61562230217911496</v>
      </c>
      <c r="P278" s="8">
        <v>12</v>
      </c>
      <c r="Q278" s="7">
        <f t="shared" si="18"/>
        <v>5.1301858514926246E-2</v>
      </c>
    </row>
    <row r="279" spans="1:17" x14ac:dyDescent="0.35">
      <c r="A279" s="4" t="s">
        <v>85</v>
      </c>
      <c r="B279" s="4" t="s">
        <v>79</v>
      </c>
      <c r="C279" s="4" t="s">
        <v>20</v>
      </c>
      <c r="D279" s="4">
        <v>274</v>
      </c>
      <c r="E279" s="4" t="s">
        <v>10</v>
      </c>
      <c r="F279" s="4" t="s">
        <v>115</v>
      </c>
      <c r="G279" s="4" t="s">
        <v>0</v>
      </c>
      <c r="H279" s="4">
        <v>0.13</v>
      </c>
      <c r="I279" s="4" t="s">
        <v>61</v>
      </c>
      <c r="J279" s="4" t="s">
        <v>1</v>
      </c>
      <c r="K279" s="4">
        <v>15.1</v>
      </c>
      <c r="L279" s="7">
        <f t="shared" si="16"/>
        <v>8.6092715231788092E-3</v>
      </c>
      <c r="M279" s="9">
        <v>-7.3490813648293962E-2</v>
      </c>
      <c r="N279" s="5">
        <f t="shared" si="19"/>
        <v>0</v>
      </c>
      <c r="O279" s="3">
        <f t="shared" si="17"/>
        <v>8.6092715231788092E-3</v>
      </c>
      <c r="P279" s="8">
        <v>14</v>
      </c>
      <c r="Q279" s="7">
        <f t="shared" si="18"/>
        <v>6.1494796594134353E-4</v>
      </c>
    </row>
    <row r="280" spans="1:17" x14ac:dyDescent="0.35">
      <c r="A280" s="4" t="s">
        <v>85</v>
      </c>
      <c r="B280" s="4" t="s">
        <v>79</v>
      </c>
      <c r="C280" s="4" t="s">
        <v>20</v>
      </c>
      <c r="D280" s="4">
        <v>274</v>
      </c>
      <c r="E280" s="4" t="s">
        <v>10</v>
      </c>
      <c r="F280" s="4" t="s">
        <v>115</v>
      </c>
      <c r="G280" s="4" t="s">
        <v>62</v>
      </c>
      <c r="H280" s="4">
        <v>0.18</v>
      </c>
      <c r="I280" s="4" t="s">
        <v>63</v>
      </c>
      <c r="J280" s="4" t="s">
        <v>1</v>
      </c>
      <c r="K280" s="4">
        <v>15.1</v>
      </c>
      <c r="L280" s="7">
        <f t="shared" si="16"/>
        <v>1.1920529801324502E-2</v>
      </c>
      <c r="M280" s="9">
        <v>-8.7489063867016625E-4</v>
      </c>
      <c r="N280" s="5">
        <f t="shared" si="19"/>
        <v>0</v>
      </c>
      <c r="O280" s="3">
        <f t="shared" si="17"/>
        <v>1.1920529801324502E-2</v>
      </c>
      <c r="P280" s="8">
        <v>31</v>
      </c>
      <c r="Q280" s="7">
        <f t="shared" si="18"/>
        <v>3.8453321939756457E-4</v>
      </c>
    </row>
    <row r="281" spans="1:17" x14ac:dyDescent="0.35">
      <c r="A281" s="4" t="s">
        <v>85</v>
      </c>
      <c r="B281" s="4" t="s">
        <v>79</v>
      </c>
      <c r="C281" s="4" t="s">
        <v>20</v>
      </c>
      <c r="D281" s="4">
        <v>274</v>
      </c>
      <c r="E281" s="4" t="s">
        <v>10</v>
      </c>
      <c r="F281" s="4" t="s">
        <v>115</v>
      </c>
      <c r="G281" s="4" t="s">
        <v>21</v>
      </c>
      <c r="H281" s="4">
        <v>8.6199999999999992</v>
      </c>
      <c r="I281" s="4" t="s">
        <v>22</v>
      </c>
      <c r="J281" s="4" t="s">
        <v>1</v>
      </c>
      <c r="K281" s="4">
        <v>15.81</v>
      </c>
      <c r="L281" s="7">
        <f t="shared" si="16"/>
        <v>0.54522454142947496</v>
      </c>
      <c r="M281" s="9">
        <v>0.13735783027121612</v>
      </c>
      <c r="N281" s="5">
        <f t="shared" si="19"/>
        <v>0.13735783027121612</v>
      </c>
      <c r="O281" s="3">
        <f t="shared" si="17"/>
        <v>0.40786671115825884</v>
      </c>
      <c r="P281" s="8">
        <v>12</v>
      </c>
      <c r="Q281" s="7">
        <f t="shared" si="18"/>
        <v>3.3988892596521568E-2</v>
      </c>
    </row>
    <row r="282" spans="1:17" x14ac:dyDescent="0.35">
      <c r="A282" s="4" t="s">
        <v>85</v>
      </c>
      <c r="B282" s="4" t="s">
        <v>79</v>
      </c>
      <c r="C282" s="4" t="s">
        <v>20</v>
      </c>
      <c r="D282" s="4">
        <v>274</v>
      </c>
      <c r="E282" s="4" t="s">
        <v>10</v>
      </c>
      <c r="F282" s="4" t="s">
        <v>115</v>
      </c>
      <c r="G282" s="4" t="s">
        <v>0</v>
      </c>
      <c r="H282" s="4">
        <v>0.31</v>
      </c>
      <c r="I282" s="4" t="s">
        <v>61</v>
      </c>
      <c r="J282" s="4" t="s">
        <v>1</v>
      </c>
      <c r="K282" s="4">
        <v>15.81</v>
      </c>
      <c r="L282" s="7">
        <f t="shared" si="16"/>
        <v>1.9607843137254902E-2</v>
      </c>
      <c r="M282" s="9">
        <v>-7.3490813648293962E-2</v>
      </c>
      <c r="N282" s="5">
        <f t="shared" si="19"/>
        <v>0</v>
      </c>
      <c r="O282" s="3">
        <f t="shared" si="17"/>
        <v>1.9607843137254902E-2</v>
      </c>
      <c r="P282" s="8">
        <v>14</v>
      </c>
      <c r="Q282" s="7">
        <f t="shared" si="18"/>
        <v>1.4005602240896359E-3</v>
      </c>
    </row>
    <row r="283" spans="1:17" x14ac:dyDescent="0.35">
      <c r="A283" s="4" t="s">
        <v>85</v>
      </c>
      <c r="B283" s="4" t="s">
        <v>79</v>
      </c>
      <c r="C283" s="4" t="s">
        <v>20</v>
      </c>
      <c r="D283" s="4">
        <v>274</v>
      </c>
      <c r="E283" s="4" t="s">
        <v>10</v>
      </c>
      <c r="F283" s="4" t="s">
        <v>115</v>
      </c>
      <c r="G283" s="4" t="s">
        <v>62</v>
      </c>
      <c r="H283" s="4">
        <v>0.03</v>
      </c>
      <c r="I283" s="4" t="s">
        <v>63</v>
      </c>
      <c r="J283" s="4" t="s">
        <v>1</v>
      </c>
      <c r="K283" s="4">
        <v>15.81</v>
      </c>
      <c r="L283" s="7">
        <f t="shared" si="16"/>
        <v>1.8975332068311194E-3</v>
      </c>
      <c r="M283" s="9">
        <v>-8.7489063867016625E-4</v>
      </c>
      <c r="N283" s="5">
        <f t="shared" si="19"/>
        <v>0</v>
      </c>
      <c r="O283" s="3">
        <f t="shared" si="17"/>
        <v>1.8975332068311194E-3</v>
      </c>
      <c r="P283" s="8">
        <v>31</v>
      </c>
      <c r="Q283" s="7">
        <f t="shared" si="18"/>
        <v>6.1210748607455463E-5</v>
      </c>
    </row>
    <row r="284" spans="1:17" x14ac:dyDescent="0.35">
      <c r="A284" s="4" t="s">
        <v>85</v>
      </c>
      <c r="B284" s="4" t="s">
        <v>79</v>
      </c>
      <c r="C284" s="4" t="s">
        <v>20</v>
      </c>
      <c r="D284" s="4">
        <v>274</v>
      </c>
      <c r="E284" s="4" t="s">
        <v>10</v>
      </c>
      <c r="F284" s="4" t="s">
        <v>115</v>
      </c>
      <c r="G284" s="4" t="s">
        <v>21</v>
      </c>
      <c r="H284" s="4">
        <v>11.59</v>
      </c>
      <c r="I284" s="4" t="s">
        <v>22</v>
      </c>
      <c r="J284" s="4" t="s">
        <v>1</v>
      </c>
      <c r="K284" s="4">
        <v>17.54</v>
      </c>
      <c r="L284" s="7">
        <f t="shared" si="16"/>
        <v>0.66077537058152791</v>
      </c>
      <c r="M284" s="9">
        <v>0.13735783027121612</v>
      </c>
      <c r="N284" s="5">
        <f t="shared" si="19"/>
        <v>0.13735783027121612</v>
      </c>
      <c r="O284" s="3">
        <f t="shared" si="17"/>
        <v>0.52341754031031185</v>
      </c>
      <c r="P284" s="8">
        <v>12</v>
      </c>
      <c r="Q284" s="7">
        <f t="shared" si="18"/>
        <v>4.3618128359192654E-2</v>
      </c>
    </row>
    <row r="285" spans="1:17" x14ac:dyDescent="0.35">
      <c r="A285" s="4" t="s">
        <v>85</v>
      </c>
      <c r="B285" s="4" t="s">
        <v>79</v>
      </c>
      <c r="C285" s="4" t="s">
        <v>20</v>
      </c>
      <c r="D285" s="4">
        <v>274</v>
      </c>
      <c r="E285" s="4" t="s">
        <v>10</v>
      </c>
      <c r="F285" s="4" t="s">
        <v>115</v>
      </c>
      <c r="G285" s="4" t="s">
        <v>0</v>
      </c>
      <c r="H285" s="4">
        <v>0.25</v>
      </c>
      <c r="I285" s="4" t="s">
        <v>61</v>
      </c>
      <c r="J285" s="4" t="s">
        <v>1</v>
      </c>
      <c r="K285" s="4">
        <v>17.54</v>
      </c>
      <c r="L285" s="7">
        <f t="shared" si="16"/>
        <v>1.4253135689851768E-2</v>
      </c>
      <c r="M285" s="9">
        <v>-7.3490813648293962E-2</v>
      </c>
      <c r="N285" s="5">
        <f t="shared" si="19"/>
        <v>0</v>
      </c>
      <c r="O285" s="3">
        <f t="shared" si="17"/>
        <v>1.4253135689851768E-2</v>
      </c>
      <c r="P285" s="8">
        <v>14</v>
      </c>
      <c r="Q285" s="7">
        <f t="shared" si="18"/>
        <v>1.0180811207036978E-3</v>
      </c>
    </row>
    <row r="286" spans="1:17" x14ac:dyDescent="0.35">
      <c r="A286" s="4" t="s">
        <v>85</v>
      </c>
      <c r="B286" s="4" t="s">
        <v>79</v>
      </c>
      <c r="C286" s="4" t="s">
        <v>20</v>
      </c>
      <c r="D286" s="4">
        <v>274</v>
      </c>
      <c r="E286" s="4" t="s">
        <v>10</v>
      </c>
      <c r="F286" s="4" t="s">
        <v>115</v>
      </c>
      <c r="G286" s="4" t="s">
        <v>62</v>
      </c>
      <c r="H286" s="4">
        <v>0.1</v>
      </c>
      <c r="I286" s="4" t="s">
        <v>63</v>
      </c>
      <c r="J286" s="4" t="s">
        <v>1</v>
      </c>
      <c r="K286" s="4">
        <v>17.54</v>
      </c>
      <c r="L286" s="7">
        <f t="shared" si="16"/>
        <v>5.7012542759407071E-3</v>
      </c>
      <c r="M286" s="9">
        <v>-8.7489063867016625E-4</v>
      </c>
      <c r="N286" s="5">
        <f t="shared" si="19"/>
        <v>0</v>
      </c>
      <c r="O286" s="3">
        <f t="shared" si="17"/>
        <v>5.7012542759407071E-3</v>
      </c>
      <c r="P286" s="8">
        <v>31</v>
      </c>
      <c r="Q286" s="7">
        <f t="shared" si="18"/>
        <v>1.8391142825615185E-4</v>
      </c>
    </row>
    <row r="287" spans="1:17" x14ac:dyDescent="0.35">
      <c r="A287" s="4" t="s">
        <v>83</v>
      </c>
      <c r="B287" s="4" t="s">
        <v>79</v>
      </c>
      <c r="C287" s="4" t="s">
        <v>20</v>
      </c>
      <c r="D287" s="4">
        <v>274</v>
      </c>
      <c r="E287" s="4" t="s">
        <v>10</v>
      </c>
      <c r="F287" s="4" t="s">
        <v>114</v>
      </c>
      <c r="G287" s="4" t="s">
        <v>21</v>
      </c>
      <c r="H287" s="4">
        <v>26.82</v>
      </c>
      <c r="I287" s="4" t="s">
        <v>22</v>
      </c>
      <c r="J287" s="4" t="s">
        <v>1</v>
      </c>
      <c r="K287" s="4">
        <v>12.05</v>
      </c>
      <c r="L287" s="7">
        <f t="shared" si="16"/>
        <v>2.2257261410788383</v>
      </c>
      <c r="M287" s="9">
        <v>0.44896115627822941</v>
      </c>
      <c r="N287" s="5">
        <f t="shared" si="19"/>
        <v>0.44896115627822941</v>
      </c>
      <c r="O287" s="3">
        <f t="shared" si="17"/>
        <v>1.7767649848006088</v>
      </c>
      <c r="P287" s="8">
        <v>12</v>
      </c>
      <c r="Q287" s="7">
        <f t="shared" si="18"/>
        <v>0.14806374873338407</v>
      </c>
    </row>
    <row r="288" spans="1:17" x14ac:dyDescent="0.35">
      <c r="A288" s="4" t="s">
        <v>83</v>
      </c>
      <c r="B288" s="4" t="s">
        <v>79</v>
      </c>
      <c r="C288" s="4" t="s">
        <v>20</v>
      </c>
      <c r="D288" s="4">
        <v>274</v>
      </c>
      <c r="E288" s="4" t="s">
        <v>10</v>
      </c>
      <c r="F288" s="4" t="s">
        <v>114</v>
      </c>
      <c r="G288" s="4" t="s">
        <v>0</v>
      </c>
      <c r="H288" s="4">
        <v>3.02</v>
      </c>
      <c r="I288" s="4" t="s">
        <v>61</v>
      </c>
      <c r="J288" s="4" t="s">
        <v>1</v>
      </c>
      <c r="K288" s="4">
        <v>12.05</v>
      </c>
      <c r="L288" s="7">
        <f t="shared" si="16"/>
        <v>0.25062240663900415</v>
      </c>
      <c r="M288" s="9">
        <v>-0.11201445347786811</v>
      </c>
      <c r="N288" s="5">
        <f t="shared" si="19"/>
        <v>0</v>
      </c>
      <c r="O288" s="3">
        <f t="shared" si="17"/>
        <v>0.25062240663900415</v>
      </c>
      <c r="P288" s="8">
        <v>14</v>
      </c>
      <c r="Q288" s="7">
        <f t="shared" si="18"/>
        <v>1.7901600474214581E-2</v>
      </c>
    </row>
    <row r="289" spans="1:17" x14ac:dyDescent="0.35">
      <c r="A289" s="4" t="s">
        <v>83</v>
      </c>
      <c r="B289" s="4" t="s">
        <v>79</v>
      </c>
      <c r="C289" s="4" t="s">
        <v>20</v>
      </c>
      <c r="D289" s="4">
        <v>274</v>
      </c>
      <c r="E289" s="4" t="s">
        <v>10</v>
      </c>
      <c r="F289" s="4" t="s">
        <v>114</v>
      </c>
      <c r="G289" s="4" t="s">
        <v>62</v>
      </c>
      <c r="H289" s="4">
        <v>0.2</v>
      </c>
      <c r="I289" s="4" t="s">
        <v>63</v>
      </c>
      <c r="J289" s="4" t="s">
        <v>1</v>
      </c>
      <c r="K289" s="4">
        <v>12.05</v>
      </c>
      <c r="L289" s="7">
        <f t="shared" si="16"/>
        <v>1.6597510373443983E-2</v>
      </c>
      <c r="M289" s="9">
        <v>1.8066847335140017E-3</v>
      </c>
      <c r="N289" s="5">
        <f t="shared" si="19"/>
        <v>1.8066847335140017E-3</v>
      </c>
      <c r="O289" s="3">
        <f t="shared" si="17"/>
        <v>1.4790825639929981E-2</v>
      </c>
      <c r="P289" s="8">
        <v>31</v>
      </c>
      <c r="Q289" s="7">
        <f t="shared" si="18"/>
        <v>4.771234077396768E-4</v>
      </c>
    </row>
    <row r="290" spans="1:17" x14ac:dyDescent="0.35">
      <c r="A290" s="4" t="s">
        <v>83</v>
      </c>
      <c r="B290" s="4" t="s">
        <v>79</v>
      </c>
      <c r="C290" s="4" t="s">
        <v>20</v>
      </c>
      <c r="D290" s="4">
        <v>274</v>
      </c>
      <c r="E290" s="4" t="s">
        <v>10</v>
      </c>
      <c r="F290" s="4" t="s">
        <v>114</v>
      </c>
      <c r="G290" s="4" t="s">
        <v>21</v>
      </c>
      <c r="H290" s="4">
        <v>21.82</v>
      </c>
      <c r="I290" s="4" t="s">
        <v>22</v>
      </c>
      <c r="J290" s="4" t="s">
        <v>1</v>
      </c>
      <c r="K290" s="4">
        <v>13.63</v>
      </c>
      <c r="L290" s="7">
        <f t="shared" si="16"/>
        <v>1.6008804108584005</v>
      </c>
      <c r="M290" s="9">
        <v>0.44896115627822941</v>
      </c>
      <c r="N290" s="5">
        <f t="shared" si="19"/>
        <v>0.44896115627822941</v>
      </c>
      <c r="O290" s="3">
        <f t="shared" si="17"/>
        <v>1.1519192545801711</v>
      </c>
      <c r="P290" s="8">
        <v>12</v>
      </c>
      <c r="Q290" s="7">
        <f t="shared" si="18"/>
        <v>9.5993271215014261E-2</v>
      </c>
    </row>
    <row r="291" spans="1:17" x14ac:dyDescent="0.35">
      <c r="A291" s="4" t="s">
        <v>83</v>
      </c>
      <c r="B291" s="4" t="s">
        <v>79</v>
      </c>
      <c r="C291" s="4" t="s">
        <v>20</v>
      </c>
      <c r="D291" s="4">
        <v>274</v>
      </c>
      <c r="E291" s="4" t="s">
        <v>10</v>
      </c>
      <c r="F291" s="4" t="s">
        <v>114</v>
      </c>
      <c r="G291" s="4" t="s">
        <v>0</v>
      </c>
      <c r="H291" s="4">
        <v>1.61</v>
      </c>
      <c r="I291" s="4" t="s">
        <v>61</v>
      </c>
      <c r="J291" s="4" t="s">
        <v>1</v>
      </c>
      <c r="K291" s="4">
        <v>13.63</v>
      </c>
      <c r="L291" s="7">
        <f t="shared" si="16"/>
        <v>0.11812179016874541</v>
      </c>
      <c r="M291" s="9">
        <v>-0.11201445347786811</v>
      </c>
      <c r="N291" s="5">
        <f t="shared" si="19"/>
        <v>0</v>
      </c>
      <c r="O291" s="3">
        <f t="shared" si="17"/>
        <v>0.11812179016874541</v>
      </c>
      <c r="P291" s="8">
        <v>14</v>
      </c>
      <c r="Q291" s="7">
        <f t="shared" si="18"/>
        <v>8.4372707263389579E-3</v>
      </c>
    </row>
    <row r="292" spans="1:17" x14ac:dyDescent="0.35">
      <c r="A292" s="4" t="s">
        <v>83</v>
      </c>
      <c r="B292" s="4" t="s">
        <v>79</v>
      </c>
      <c r="C292" s="4" t="s">
        <v>20</v>
      </c>
      <c r="D292" s="4">
        <v>274</v>
      </c>
      <c r="E292" s="4" t="s">
        <v>10</v>
      </c>
      <c r="F292" s="4" t="s">
        <v>114</v>
      </c>
      <c r="G292" s="4" t="s">
        <v>62</v>
      </c>
      <c r="H292" s="4">
        <v>0.15</v>
      </c>
      <c r="I292" s="4" t="s">
        <v>63</v>
      </c>
      <c r="J292" s="4" t="s">
        <v>1</v>
      </c>
      <c r="K292" s="4">
        <v>13.63</v>
      </c>
      <c r="L292" s="7">
        <f t="shared" si="16"/>
        <v>1.1005135730007335E-2</v>
      </c>
      <c r="M292" s="9">
        <v>1.8066847335140017E-3</v>
      </c>
      <c r="N292" s="5">
        <f t="shared" si="19"/>
        <v>1.8066847335140017E-3</v>
      </c>
      <c r="O292" s="3">
        <f t="shared" si="17"/>
        <v>9.1984509964933327E-3</v>
      </c>
      <c r="P292" s="8">
        <v>31</v>
      </c>
      <c r="Q292" s="7">
        <f t="shared" si="18"/>
        <v>2.9672422569333333E-4</v>
      </c>
    </row>
    <row r="293" spans="1:17" x14ac:dyDescent="0.35">
      <c r="A293" s="4" t="s">
        <v>88</v>
      </c>
      <c r="B293" s="4" t="s">
        <v>89</v>
      </c>
      <c r="C293" s="4" t="s">
        <v>20</v>
      </c>
      <c r="D293" s="4">
        <v>504</v>
      </c>
      <c r="E293" s="4" t="s">
        <v>10</v>
      </c>
      <c r="F293" s="4" t="s">
        <v>146</v>
      </c>
      <c r="G293" s="4" t="s">
        <v>21</v>
      </c>
      <c r="H293" s="4">
        <v>35.9</v>
      </c>
      <c r="I293" s="4" t="s">
        <v>22</v>
      </c>
      <c r="J293" s="4" t="s">
        <v>1</v>
      </c>
      <c r="K293" s="4">
        <v>9.6999999999999993</v>
      </c>
      <c r="L293" s="7">
        <f t="shared" si="16"/>
        <v>3.7010309278350517</v>
      </c>
      <c r="M293" s="3">
        <v>8.6021505376344079E-2</v>
      </c>
      <c r="N293" s="5">
        <f t="shared" si="19"/>
        <v>8.6021505376344079E-2</v>
      </c>
      <c r="O293" s="3">
        <f t="shared" si="17"/>
        <v>3.6150094224587077</v>
      </c>
      <c r="P293" s="8">
        <v>12</v>
      </c>
      <c r="Q293" s="7">
        <f t="shared" si="18"/>
        <v>0.30125078520489229</v>
      </c>
    </row>
    <row r="294" spans="1:17" x14ac:dyDescent="0.35">
      <c r="A294" s="4" t="s">
        <v>88</v>
      </c>
      <c r="B294" s="4" t="s">
        <v>89</v>
      </c>
      <c r="C294" s="4" t="s">
        <v>20</v>
      </c>
      <c r="D294" s="4">
        <v>504</v>
      </c>
      <c r="E294" s="4" t="s">
        <v>10</v>
      </c>
      <c r="F294" s="4" t="s">
        <v>146</v>
      </c>
      <c r="G294" s="4" t="s">
        <v>0</v>
      </c>
      <c r="H294" s="4">
        <v>4.28</v>
      </c>
      <c r="I294" s="4" t="s">
        <v>61</v>
      </c>
      <c r="J294" s="4" t="s">
        <v>1</v>
      </c>
      <c r="K294" s="4">
        <v>9.6999999999999993</v>
      </c>
      <c r="L294" s="7">
        <f t="shared" si="16"/>
        <v>0.4412371134020619</v>
      </c>
      <c r="M294" s="3">
        <v>-9.5878136200716849E-2</v>
      </c>
      <c r="N294" s="5">
        <f t="shared" si="19"/>
        <v>0</v>
      </c>
      <c r="O294" s="3">
        <f t="shared" si="17"/>
        <v>0.4412371134020619</v>
      </c>
      <c r="P294" s="8">
        <v>14</v>
      </c>
      <c r="Q294" s="7">
        <f t="shared" si="18"/>
        <v>3.1516936671575853E-2</v>
      </c>
    </row>
    <row r="295" spans="1:17" x14ac:dyDescent="0.35">
      <c r="A295" s="4" t="s">
        <v>88</v>
      </c>
      <c r="B295" s="4" t="s">
        <v>89</v>
      </c>
      <c r="C295" s="4" t="s">
        <v>20</v>
      </c>
      <c r="D295" s="4">
        <v>504</v>
      </c>
      <c r="E295" s="4" t="s">
        <v>10</v>
      </c>
      <c r="F295" s="4" t="s">
        <v>146</v>
      </c>
      <c r="G295" s="4" t="s">
        <v>62</v>
      </c>
      <c r="H295" s="4">
        <v>0.41</v>
      </c>
      <c r="I295" s="4" t="s">
        <v>63</v>
      </c>
      <c r="J295" s="4" t="s">
        <v>1</v>
      </c>
      <c r="K295" s="4">
        <v>9.6999999999999993</v>
      </c>
      <c r="L295" s="7">
        <f t="shared" si="16"/>
        <v>4.2268041237113405E-2</v>
      </c>
      <c r="M295" s="3">
        <v>3.5842293906810036E-3</v>
      </c>
      <c r="N295" s="5">
        <f t="shared" si="19"/>
        <v>3.5842293906810036E-3</v>
      </c>
      <c r="O295" s="3">
        <f t="shared" si="17"/>
        <v>3.8683811846432402E-2</v>
      </c>
      <c r="P295" s="8">
        <v>31</v>
      </c>
      <c r="Q295" s="7">
        <f t="shared" si="18"/>
        <v>1.247864898272013E-3</v>
      </c>
    </row>
    <row r="296" spans="1:17" x14ac:dyDescent="0.35">
      <c r="A296" s="4" t="s">
        <v>88</v>
      </c>
      <c r="B296" s="4" t="s">
        <v>89</v>
      </c>
      <c r="C296" s="4" t="s">
        <v>20</v>
      </c>
      <c r="D296" s="4">
        <v>504</v>
      </c>
      <c r="E296" s="4" t="s">
        <v>10</v>
      </c>
      <c r="F296" s="4" t="s">
        <v>146</v>
      </c>
      <c r="G296" s="4" t="s">
        <v>21</v>
      </c>
      <c r="H296" s="4">
        <v>25.4</v>
      </c>
      <c r="I296" s="4" t="s">
        <v>22</v>
      </c>
      <c r="J296" s="4" t="s">
        <v>1</v>
      </c>
      <c r="K296" s="4">
        <v>9.83</v>
      </c>
      <c r="L296" s="7">
        <f t="shared" si="16"/>
        <v>2.5839267548321465</v>
      </c>
      <c r="M296" s="9">
        <v>8.6021505376344079E-2</v>
      </c>
      <c r="N296" s="5">
        <f t="shared" si="19"/>
        <v>8.6021505376344079E-2</v>
      </c>
      <c r="O296" s="3">
        <f t="shared" si="17"/>
        <v>2.4979052494558025</v>
      </c>
      <c r="P296" s="8">
        <v>12</v>
      </c>
      <c r="Q296" s="7">
        <f t="shared" si="18"/>
        <v>0.20815877078798353</v>
      </c>
    </row>
    <row r="297" spans="1:17" x14ac:dyDescent="0.35">
      <c r="A297" s="4" t="s">
        <v>88</v>
      </c>
      <c r="B297" s="4" t="s">
        <v>89</v>
      </c>
      <c r="C297" s="4" t="s">
        <v>20</v>
      </c>
      <c r="D297" s="4">
        <v>504</v>
      </c>
      <c r="E297" s="4" t="s">
        <v>10</v>
      </c>
      <c r="F297" s="4" t="s">
        <v>146</v>
      </c>
      <c r="G297" s="4" t="s">
        <v>0</v>
      </c>
      <c r="H297" s="4">
        <v>2.65</v>
      </c>
      <c r="I297" s="4" t="s">
        <v>61</v>
      </c>
      <c r="J297" s="4" t="s">
        <v>1</v>
      </c>
      <c r="K297" s="4">
        <v>9.83</v>
      </c>
      <c r="L297" s="7">
        <f t="shared" si="16"/>
        <v>0.26958290946083419</v>
      </c>
      <c r="M297" s="9">
        <v>-9.5878136200716849E-2</v>
      </c>
      <c r="N297" s="5">
        <f t="shared" si="19"/>
        <v>0</v>
      </c>
      <c r="O297" s="3">
        <f t="shared" si="17"/>
        <v>0.26958290946083419</v>
      </c>
      <c r="P297" s="8">
        <v>14</v>
      </c>
      <c r="Q297" s="7">
        <f t="shared" si="18"/>
        <v>1.9255922104345298E-2</v>
      </c>
    </row>
    <row r="298" spans="1:17" x14ac:dyDescent="0.35">
      <c r="A298" s="4" t="s">
        <v>88</v>
      </c>
      <c r="B298" s="4" t="s">
        <v>89</v>
      </c>
      <c r="C298" s="4" t="s">
        <v>20</v>
      </c>
      <c r="D298" s="4">
        <v>504</v>
      </c>
      <c r="E298" s="4" t="s">
        <v>10</v>
      </c>
      <c r="F298" s="4" t="s">
        <v>146</v>
      </c>
      <c r="G298" s="4" t="s">
        <v>62</v>
      </c>
      <c r="H298" s="4">
        <v>0.85</v>
      </c>
      <c r="I298" s="4" t="s">
        <v>63</v>
      </c>
      <c r="J298" s="4" t="s">
        <v>1</v>
      </c>
      <c r="K298" s="4">
        <v>9.83</v>
      </c>
      <c r="L298" s="7">
        <f t="shared" si="16"/>
        <v>8.6469989827060015E-2</v>
      </c>
      <c r="M298" s="9">
        <v>3.5842293906810036E-3</v>
      </c>
      <c r="N298" s="5">
        <f t="shared" si="19"/>
        <v>3.5842293906810036E-3</v>
      </c>
      <c r="O298" s="3">
        <f t="shared" si="17"/>
        <v>8.2885760436379005E-2</v>
      </c>
      <c r="P298" s="8">
        <v>31</v>
      </c>
      <c r="Q298" s="7">
        <f t="shared" si="18"/>
        <v>2.673734207625129E-3</v>
      </c>
    </row>
    <row r="299" spans="1:17" x14ac:dyDescent="0.35">
      <c r="A299" s="4" t="s">
        <v>39</v>
      </c>
      <c r="B299" s="4" t="s">
        <v>40</v>
      </c>
      <c r="C299" s="4" t="s">
        <v>20</v>
      </c>
      <c r="D299" s="4">
        <v>10</v>
      </c>
      <c r="E299" s="4" t="s">
        <v>9</v>
      </c>
      <c r="F299" s="4" t="s">
        <v>114</v>
      </c>
      <c r="G299" s="4" t="s">
        <v>21</v>
      </c>
      <c r="H299" s="4">
        <v>31.85</v>
      </c>
      <c r="I299" s="4" t="s">
        <v>22</v>
      </c>
      <c r="J299" s="4" t="s">
        <v>1</v>
      </c>
      <c r="K299" s="4">
        <v>7.21</v>
      </c>
      <c r="L299" s="7">
        <f t="shared" si="16"/>
        <v>4.4174757281553401</v>
      </c>
      <c r="M299" s="9">
        <v>-6.7189249720044794E-2</v>
      </c>
      <c r="N299" s="5">
        <f t="shared" si="19"/>
        <v>0</v>
      </c>
      <c r="O299" s="3">
        <f t="shared" si="17"/>
        <v>4.4174757281553401</v>
      </c>
      <c r="P299" s="8">
        <v>12</v>
      </c>
      <c r="Q299" s="7">
        <f t="shared" si="18"/>
        <v>0.36812297734627836</v>
      </c>
    </row>
    <row r="300" spans="1:17" x14ac:dyDescent="0.35">
      <c r="A300" s="4" t="s">
        <v>39</v>
      </c>
      <c r="B300" s="4" t="s">
        <v>40</v>
      </c>
      <c r="C300" s="4" t="s">
        <v>20</v>
      </c>
      <c r="D300" s="4">
        <v>10</v>
      </c>
      <c r="E300" s="4" t="s">
        <v>9</v>
      </c>
      <c r="F300" s="4" t="s">
        <v>114</v>
      </c>
      <c r="G300" s="4" t="s">
        <v>0</v>
      </c>
      <c r="H300" s="4">
        <v>2.64</v>
      </c>
      <c r="I300" s="4" t="s">
        <v>61</v>
      </c>
      <c r="J300" s="4" t="s">
        <v>1</v>
      </c>
      <c r="K300" s="4">
        <v>7.21</v>
      </c>
      <c r="L300" s="7">
        <f t="shared" si="16"/>
        <v>0.36615811373092927</v>
      </c>
      <c r="M300" s="9">
        <v>-5.0391937290033599E-2</v>
      </c>
      <c r="N300" s="5">
        <f t="shared" si="19"/>
        <v>0</v>
      </c>
      <c r="O300" s="3">
        <f t="shared" si="17"/>
        <v>0.36615811373092927</v>
      </c>
      <c r="P300" s="8">
        <v>14</v>
      </c>
      <c r="Q300" s="7">
        <f t="shared" si="18"/>
        <v>2.6154150980780663E-2</v>
      </c>
    </row>
    <row r="301" spans="1:17" x14ac:dyDescent="0.35">
      <c r="A301" s="4" t="s">
        <v>39</v>
      </c>
      <c r="B301" s="4" t="s">
        <v>40</v>
      </c>
      <c r="C301" s="4" t="s">
        <v>20</v>
      </c>
      <c r="D301" s="4">
        <v>10</v>
      </c>
      <c r="E301" s="4" t="s">
        <v>9</v>
      </c>
      <c r="F301" s="4" t="s">
        <v>114</v>
      </c>
      <c r="G301" s="4" t="s">
        <v>62</v>
      </c>
      <c r="H301" s="4">
        <v>0.31</v>
      </c>
      <c r="I301" s="4" t="s">
        <v>63</v>
      </c>
      <c r="J301" s="4" t="s">
        <v>1</v>
      </c>
      <c r="K301" s="4">
        <v>7.21</v>
      </c>
      <c r="L301" s="7">
        <f t="shared" si="16"/>
        <v>4.2995839112343968E-2</v>
      </c>
      <c r="M301" s="9">
        <v>-7.8387458006718928E-3</v>
      </c>
      <c r="N301" s="5">
        <f t="shared" si="19"/>
        <v>0</v>
      </c>
      <c r="O301" s="3">
        <f t="shared" si="17"/>
        <v>4.2995839112343968E-2</v>
      </c>
      <c r="P301" s="8">
        <v>31</v>
      </c>
      <c r="Q301" s="7">
        <f t="shared" si="18"/>
        <v>1.3869625520110957E-3</v>
      </c>
    </row>
    <row r="302" spans="1:17" x14ac:dyDescent="0.35">
      <c r="A302" s="4" t="s">
        <v>39</v>
      </c>
      <c r="B302" s="4" t="s">
        <v>40</v>
      </c>
      <c r="C302" s="4" t="s">
        <v>20</v>
      </c>
      <c r="D302" s="4">
        <v>10</v>
      </c>
      <c r="E302" s="4" t="s">
        <v>9</v>
      </c>
      <c r="F302" s="4" t="s">
        <v>114</v>
      </c>
      <c r="G302" s="4" t="s">
        <v>21</v>
      </c>
      <c r="H302" s="4">
        <v>33.85</v>
      </c>
      <c r="I302" s="4" t="s">
        <v>22</v>
      </c>
      <c r="J302" s="4" t="s">
        <v>1</v>
      </c>
      <c r="K302" s="4">
        <v>6.16</v>
      </c>
      <c r="L302" s="7">
        <f t="shared" si="16"/>
        <v>5.4951298701298699</v>
      </c>
      <c r="M302" s="9">
        <v>-6.7189249720044794E-2</v>
      </c>
      <c r="N302" s="5">
        <f t="shared" si="19"/>
        <v>0</v>
      </c>
      <c r="O302" s="3">
        <f t="shared" si="17"/>
        <v>5.4951298701298699</v>
      </c>
      <c r="P302" s="8">
        <v>12</v>
      </c>
      <c r="Q302" s="7">
        <f t="shared" si="18"/>
        <v>0.45792748917748916</v>
      </c>
    </row>
    <row r="303" spans="1:17" x14ac:dyDescent="0.35">
      <c r="A303" s="4" t="s">
        <v>39</v>
      </c>
      <c r="B303" s="4" t="s">
        <v>40</v>
      </c>
      <c r="C303" s="4" t="s">
        <v>20</v>
      </c>
      <c r="D303" s="4">
        <v>10</v>
      </c>
      <c r="E303" s="4" t="s">
        <v>9</v>
      </c>
      <c r="F303" s="4" t="s">
        <v>114</v>
      </c>
      <c r="G303" s="4" t="s">
        <v>0</v>
      </c>
      <c r="H303" s="4">
        <v>3.62</v>
      </c>
      <c r="I303" s="4" t="s">
        <v>61</v>
      </c>
      <c r="J303" s="4" t="s">
        <v>1</v>
      </c>
      <c r="K303" s="4">
        <v>6.16</v>
      </c>
      <c r="L303" s="7">
        <f t="shared" si="16"/>
        <v>0.58766233766233766</v>
      </c>
      <c r="M303" s="9">
        <v>-5.0391937290033599E-2</v>
      </c>
      <c r="N303" s="5">
        <f t="shared" si="19"/>
        <v>0</v>
      </c>
      <c r="O303" s="3">
        <f t="shared" si="17"/>
        <v>0.58766233766233766</v>
      </c>
      <c r="P303" s="8">
        <v>14</v>
      </c>
      <c r="Q303" s="7">
        <f t="shared" si="18"/>
        <v>4.197588126159555E-2</v>
      </c>
    </row>
    <row r="304" spans="1:17" x14ac:dyDescent="0.35">
      <c r="A304" s="4" t="s">
        <v>39</v>
      </c>
      <c r="B304" s="4" t="s">
        <v>40</v>
      </c>
      <c r="C304" s="4" t="s">
        <v>20</v>
      </c>
      <c r="D304" s="4">
        <v>10</v>
      </c>
      <c r="E304" s="4" t="s">
        <v>9</v>
      </c>
      <c r="F304" s="4" t="s">
        <v>114</v>
      </c>
      <c r="G304" s="4" t="s">
        <v>62</v>
      </c>
      <c r="H304" s="4">
        <v>0.33</v>
      </c>
      <c r="I304" s="4" t="s">
        <v>63</v>
      </c>
      <c r="J304" s="4" t="s">
        <v>1</v>
      </c>
      <c r="K304" s="4">
        <v>6.16</v>
      </c>
      <c r="L304" s="7">
        <f t="shared" si="16"/>
        <v>5.3571428571428575E-2</v>
      </c>
      <c r="M304" s="9">
        <v>-7.8387458006718928E-3</v>
      </c>
      <c r="N304" s="5">
        <f t="shared" si="19"/>
        <v>0</v>
      </c>
      <c r="O304" s="3">
        <f t="shared" si="17"/>
        <v>5.3571428571428575E-2</v>
      </c>
      <c r="P304" s="8">
        <v>31</v>
      </c>
      <c r="Q304" s="7">
        <f t="shared" si="18"/>
        <v>1.7281105990783411E-3</v>
      </c>
    </row>
    <row r="305" spans="1:17" x14ac:dyDescent="0.35">
      <c r="A305" s="4" t="s">
        <v>59</v>
      </c>
      <c r="B305" s="4" t="s">
        <v>40</v>
      </c>
      <c r="C305" s="4" t="s">
        <v>20</v>
      </c>
      <c r="D305" s="4">
        <v>10</v>
      </c>
      <c r="E305" s="4" t="s">
        <v>9</v>
      </c>
      <c r="F305" s="4" t="s">
        <v>117</v>
      </c>
      <c r="G305" s="4" t="s">
        <v>21</v>
      </c>
      <c r="H305" s="4">
        <v>45.18</v>
      </c>
      <c r="I305" s="4" t="s">
        <v>22</v>
      </c>
      <c r="J305" s="4" t="s">
        <v>1</v>
      </c>
      <c r="K305" s="4">
        <v>7.19</v>
      </c>
      <c r="L305" s="7">
        <f t="shared" si="16"/>
        <v>6.2837273991655076</v>
      </c>
      <c r="M305" s="9">
        <v>0.30924855491329484</v>
      </c>
      <c r="N305" s="5">
        <f t="shared" si="19"/>
        <v>0.30924855491329484</v>
      </c>
      <c r="O305" s="3">
        <f t="shared" si="17"/>
        <v>5.9744788442522125</v>
      </c>
      <c r="P305" s="8">
        <v>12</v>
      </c>
      <c r="Q305" s="7">
        <f t="shared" si="18"/>
        <v>0.49787323702101771</v>
      </c>
    </row>
    <row r="306" spans="1:17" x14ac:dyDescent="0.35">
      <c r="A306" s="4" t="s">
        <v>59</v>
      </c>
      <c r="B306" s="4" t="s">
        <v>40</v>
      </c>
      <c r="C306" s="4" t="s">
        <v>20</v>
      </c>
      <c r="D306" s="4">
        <v>10</v>
      </c>
      <c r="E306" s="4" t="s">
        <v>9</v>
      </c>
      <c r="F306" s="4" t="s">
        <v>117</v>
      </c>
      <c r="G306" s="4" t="s">
        <v>0</v>
      </c>
      <c r="H306" s="4">
        <v>1.1299999999999999</v>
      </c>
      <c r="I306" s="4" t="s">
        <v>61</v>
      </c>
      <c r="J306" s="4" t="s">
        <v>1</v>
      </c>
      <c r="K306" s="4">
        <v>7.19</v>
      </c>
      <c r="L306" s="7">
        <f t="shared" si="16"/>
        <v>0.15716272600834491</v>
      </c>
      <c r="M306" s="9">
        <v>-9.1040462427745661E-2</v>
      </c>
      <c r="N306" s="5">
        <f t="shared" si="19"/>
        <v>0</v>
      </c>
      <c r="O306" s="3">
        <f t="shared" si="17"/>
        <v>0.15716272600834491</v>
      </c>
      <c r="P306" s="8">
        <v>14</v>
      </c>
      <c r="Q306" s="7">
        <f t="shared" si="18"/>
        <v>1.1225909000596066E-2</v>
      </c>
    </row>
    <row r="307" spans="1:17" x14ac:dyDescent="0.35">
      <c r="A307" s="4" t="s">
        <v>59</v>
      </c>
      <c r="B307" s="4" t="s">
        <v>40</v>
      </c>
      <c r="C307" s="4" t="s">
        <v>20</v>
      </c>
      <c r="D307" s="4">
        <v>10</v>
      </c>
      <c r="E307" s="4" t="s">
        <v>9</v>
      </c>
      <c r="F307" s="4" t="s">
        <v>117</v>
      </c>
      <c r="G307" s="4" t="s">
        <v>62</v>
      </c>
      <c r="H307" s="4">
        <v>-0.02</v>
      </c>
      <c r="I307" s="4" t="s">
        <v>63</v>
      </c>
      <c r="J307" s="4" t="s">
        <v>1</v>
      </c>
      <c r="K307" s="4">
        <v>7.19</v>
      </c>
      <c r="L307" s="7">
        <f t="shared" si="16"/>
        <v>-2.7816411682892906E-3</v>
      </c>
      <c r="M307" s="9">
        <v>-4.335260115606936E-3</v>
      </c>
      <c r="N307" s="5">
        <f t="shared" si="19"/>
        <v>0</v>
      </c>
      <c r="O307" s="3">
        <f t="shared" si="17"/>
        <v>-2.7816411682892906E-3</v>
      </c>
      <c r="P307" s="8">
        <v>31</v>
      </c>
      <c r="Q307" s="7">
        <f t="shared" si="18"/>
        <v>-8.9730360267396465E-5</v>
      </c>
    </row>
    <row r="308" spans="1:17" x14ac:dyDescent="0.35">
      <c r="A308" s="4" t="s">
        <v>53</v>
      </c>
      <c r="B308" s="4" t="s">
        <v>40</v>
      </c>
      <c r="C308" s="4" t="s">
        <v>20</v>
      </c>
      <c r="D308" s="4">
        <v>10</v>
      </c>
      <c r="E308" s="4" t="s">
        <v>9</v>
      </c>
      <c r="F308" s="4" t="s">
        <v>145</v>
      </c>
      <c r="G308" s="4" t="s">
        <v>21</v>
      </c>
      <c r="H308" s="4">
        <v>0.5</v>
      </c>
      <c r="I308" s="4" t="s">
        <v>22</v>
      </c>
      <c r="J308" s="4" t="s">
        <v>1</v>
      </c>
      <c r="K308" s="4">
        <v>7.27</v>
      </c>
      <c r="L308" s="7">
        <f t="shared" si="16"/>
        <v>6.8775790921595609E-2</v>
      </c>
      <c r="M308" s="9">
        <v>0.62254025044722716</v>
      </c>
      <c r="N308" s="5">
        <f t="shared" si="19"/>
        <v>0.62254025044722716</v>
      </c>
      <c r="O308" s="3">
        <f>L308-N308</f>
        <v>-0.55376445952563158</v>
      </c>
      <c r="P308" s="8">
        <v>12</v>
      </c>
      <c r="Q308" s="7">
        <f t="shared" si="18"/>
        <v>-4.6147038293802629E-2</v>
      </c>
    </row>
    <row r="309" spans="1:17" x14ac:dyDescent="0.35">
      <c r="A309" s="4" t="s">
        <v>53</v>
      </c>
      <c r="B309" s="4" t="s">
        <v>40</v>
      </c>
      <c r="C309" s="4" t="s">
        <v>20</v>
      </c>
      <c r="D309" s="4">
        <v>10</v>
      </c>
      <c r="E309" s="4" t="s">
        <v>9</v>
      </c>
      <c r="F309" s="4" t="s">
        <v>145</v>
      </c>
      <c r="G309" s="4" t="s">
        <v>0</v>
      </c>
      <c r="H309" s="4">
        <v>0.22</v>
      </c>
      <c r="I309" s="4" t="s">
        <v>61</v>
      </c>
      <c r="J309" s="4" t="s">
        <v>1</v>
      </c>
      <c r="K309" s="4">
        <v>7.27</v>
      </c>
      <c r="L309" s="7">
        <f t="shared" si="16"/>
        <v>3.0261348005502064E-2</v>
      </c>
      <c r="M309" s="9">
        <v>-0.21466905187835419</v>
      </c>
      <c r="N309" s="5">
        <f t="shared" si="19"/>
        <v>0</v>
      </c>
      <c r="O309" s="3">
        <f t="shared" ref="O309:O313" si="20">L309-N309</f>
        <v>3.0261348005502064E-2</v>
      </c>
      <c r="P309" s="8">
        <v>14</v>
      </c>
      <c r="Q309" s="7">
        <f t="shared" si="18"/>
        <v>2.1615248575358619E-3</v>
      </c>
    </row>
    <row r="310" spans="1:17" x14ac:dyDescent="0.35">
      <c r="A310" s="4" t="s">
        <v>53</v>
      </c>
      <c r="B310" s="4" t="s">
        <v>40</v>
      </c>
      <c r="C310" s="4" t="s">
        <v>20</v>
      </c>
      <c r="D310" s="4">
        <v>10</v>
      </c>
      <c r="E310" s="4" t="s">
        <v>9</v>
      </c>
      <c r="F310" s="4" t="s">
        <v>145</v>
      </c>
      <c r="G310" s="4" t="s">
        <v>62</v>
      </c>
      <c r="H310" s="4">
        <v>0.01</v>
      </c>
      <c r="I310" s="4" t="s">
        <v>63</v>
      </c>
      <c r="J310" s="4" t="s">
        <v>1</v>
      </c>
      <c r="K310" s="4">
        <v>7.27</v>
      </c>
      <c r="L310" s="7">
        <f t="shared" si="16"/>
        <v>1.375515818431912E-3</v>
      </c>
      <c r="M310" s="9">
        <v>-3.5778175313059034E-3</v>
      </c>
      <c r="N310" s="5">
        <f t="shared" si="19"/>
        <v>0</v>
      </c>
      <c r="O310" s="3">
        <f t="shared" si="20"/>
        <v>1.375515818431912E-3</v>
      </c>
      <c r="P310" s="8">
        <v>31</v>
      </c>
      <c r="Q310" s="7">
        <f t="shared" si="18"/>
        <v>4.4371478013932642E-5</v>
      </c>
    </row>
    <row r="311" spans="1:17" x14ac:dyDescent="0.35">
      <c r="A311" s="4" t="s">
        <v>53</v>
      </c>
      <c r="B311" s="4" t="s">
        <v>40</v>
      </c>
      <c r="C311" s="4" t="s">
        <v>20</v>
      </c>
      <c r="D311" s="4">
        <v>10</v>
      </c>
      <c r="E311" s="4" t="s">
        <v>9</v>
      </c>
      <c r="F311" s="4" t="s">
        <v>145</v>
      </c>
      <c r="G311" s="4" t="s">
        <v>21</v>
      </c>
      <c r="H311" s="4">
        <v>1.48</v>
      </c>
      <c r="I311" s="4" t="s">
        <v>22</v>
      </c>
      <c r="J311" s="4" t="s">
        <v>1</v>
      </c>
      <c r="K311" s="4">
        <v>8.8000000000000007</v>
      </c>
      <c r="L311" s="7">
        <f t="shared" si="16"/>
        <v>0.16818181818181815</v>
      </c>
      <c r="M311" s="9">
        <v>0.62254025044722716</v>
      </c>
      <c r="N311" s="5">
        <f t="shared" si="19"/>
        <v>0.62254025044722716</v>
      </c>
      <c r="O311" s="3">
        <f t="shared" si="20"/>
        <v>-0.45435843226540901</v>
      </c>
      <c r="P311" s="8">
        <v>12</v>
      </c>
      <c r="Q311" s="7">
        <f t="shared" si="18"/>
        <v>-3.7863202688784084E-2</v>
      </c>
    </row>
    <row r="312" spans="1:17" x14ac:dyDescent="0.35">
      <c r="A312" s="4" t="s">
        <v>53</v>
      </c>
      <c r="B312" s="4" t="s">
        <v>40</v>
      </c>
      <c r="C312" s="4" t="s">
        <v>20</v>
      </c>
      <c r="D312" s="4">
        <v>10</v>
      </c>
      <c r="E312" s="4" t="s">
        <v>9</v>
      </c>
      <c r="F312" s="4" t="s">
        <v>145</v>
      </c>
      <c r="G312" s="4" t="s">
        <v>0</v>
      </c>
      <c r="H312" s="4">
        <v>-0.94</v>
      </c>
      <c r="I312" s="4" t="s">
        <v>61</v>
      </c>
      <c r="J312" s="4" t="s">
        <v>1</v>
      </c>
      <c r="K312" s="4">
        <v>8.8000000000000007</v>
      </c>
      <c r="L312" s="7">
        <f t="shared" si="16"/>
        <v>-0.1068181818181818</v>
      </c>
      <c r="M312" s="9">
        <v>-0.21466905187835419</v>
      </c>
      <c r="N312" s="5">
        <f t="shared" si="19"/>
        <v>0</v>
      </c>
      <c r="O312" s="3">
        <f t="shared" si="20"/>
        <v>-0.1068181818181818</v>
      </c>
      <c r="P312" s="8">
        <v>14</v>
      </c>
      <c r="Q312" s="7">
        <f t="shared" si="18"/>
        <v>-7.6298701298701281E-3</v>
      </c>
    </row>
    <row r="313" spans="1:17" x14ac:dyDescent="0.35">
      <c r="A313" s="4" t="s">
        <v>53</v>
      </c>
      <c r="B313" s="4" t="s">
        <v>40</v>
      </c>
      <c r="C313" s="4" t="s">
        <v>20</v>
      </c>
      <c r="D313" s="4">
        <v>10</v>
      </c>
      <c r="E313" s="4" t="s">
        <v>9</v>
      </c>
      <c r="F313" s="4" t="s">
        <v>145</v>
      </c>
      <c r="G313" s="4" t="s">
        <v>62</v>
      </c>
      <c r="H313" s="4">
        <v>0.05</v>
      </c>
      <c r="I313" s="4" t="s">
        <v>63</v>
      </c>
      <c r="J313" s="4" t="s">
        <v>1</v>
      </c>
      <c r="K313" s="4">
        <v>8.8000000000000007</v>
      </c>
      <c r="L313" s="7">
        <f t="shared" si="16"/>
        <v>5.681818181818182E-3</v>
      </c>
      <c r="M313" s="9">
        <v>-3.5778175313059034E-3</v>
      </c>
      <c r="N313" s="5">
        <f t="shared" si="19"/>
        <v>0</v>
      </c>
      <c r="O313" s="3">
        <f t="shared" si="20"/>
        <v>5.681818181818182E-3</v>
      </c>
      <c r="P313" s="8">
        <v>31</v>
      </c>
      <c r="Q313" s="7">
        <f t="shared" si="18"/>
        <v>1.8328445747800586E-4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cellcounts</vt:lpstr>
      <vt:lpstr>oceanbasin_depth_percentage</vt:lpstr>
      <vt:lpstr>features</vt:lpstr>
      <vt:lpstr>edx_cell_mol_ratio</vt:lpstr>
      <vt:lpstr>cell_VL</vt:lpstr>
      <vt:lpstr>edx_cell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Verma</dc:creator>
  <cp:lastModifiedBy>Ashish Verma</cp:lastModifiedBy>
  <dcterms:created xsi:type="dcterms:W3CDTF">2015-06-05T18:17:20Z</dcterms:created>
  <dcterms:modified xsi:type="dcterms:W3CDTF">2026-02-12T09:36:05Z</dcterms:modified>
</cp:coreProperties>
</file>